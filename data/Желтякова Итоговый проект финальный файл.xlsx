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helt\Downloads\"/>
    </mc:Choice>
  </mc:AlternateContent>
  <xr:revisionPtr revIDLastSave="0" documentId="13_ncr:1_{B528758D-3FD2-41AE-972B-8947590286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се данные и расчеты" sheetId="1" r:id="rId1"/>
    <sheet name="Выводы" sheetId="6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2" i="1"/>
  <c r="M2" i="1" a="1"/>
  <c r="M2" i="1"/>
  <c r="N2" i="1" a="1"/>
  <c r="N2" i="1"/>
  <c r="O2" i="1" a="1"/>
  <c r="O2" i="1"/>
  <c r="L3" i="1" a="1"/>
  <c r="L3" i="1"/>
  <c r="M3" i="1" a="1"/>
  <c r="M3" i="1"/>
  <c r="N3" i="1" a="1"/>
  <c r="N3" i="1"/>
  <c r="O3" i="1" a="1"/>
  <c r="O3" i="1"/>
  <c r="L4" i="1" a="1"/>
  <c r="L4" i="1"/>
  <c r="M4" i="1" a="1"/>
  <c r="M4" i="1"/>
  <c r="N4" i="1" a="1"/>
  <c r="N4" i="1"/>
  <c r="O4" i="1" a="1"/>
  <c r="O4" i="1"/>
  <c r="L7" i="1" a="1"/>
  <c r="L7" i="1"/>
  <c r="M7" i="1" a="1"/>
  <c r="M7" i="1"/>
  <c r="N7" i="1" a="1"/>
  <c r="N7" i="1"/>
  <c r="O7" i="1" a="1"/>
  <c r="O7" i="1"/>
  <c r="L8" i="1" a="1"/>
  <c r="L8" i="1"/>
  <c r="M8" i="1" a="1"/>
  <c r="M8" i="1"/>
  <c r="N8" i="1" a="1"/>
  <c r="N8" i="1"/>
  <c r="O8" i="1" a="1"/>
  <c r="O8" i="1"/>
  <c r="L9" i="1" a="1"/>
  <c r="L9" i="1"/>
  <c r="M9" i="1" a="1"/>
  <c r="M9" i="1"/>
  <c r="N9" i="1" a="1"/>
  <c r="N9" i="1"/>
  <c r="O9" i="1" a="1"/>
  <c r="O9" i="1"/>
  <c r="L12" i="1" a="1"/>
  <c r="L12" i="1"/>
  <c r="M12" i="1" a="1"/>
  <c r="M12" i="1"/>
  <c r="N12" i="1" a="1"/>
  <c r="N12" i="1"/>
  <c r="O12" i="1" a="1"/>
  <c r="O12" i="1"/>
  <c r="L13" i="1" a="1"/>
  <c r="L13" i="1"/>
  <c r="M13" i="1" a="1"/>
  <c r="M13" i="1"/>
  <c r="N13" i="1" a="1"/>
  <c r="N13" i="1"/>
  <c r="O13" i="1" a="1"/>
  <c r="O13" i="1"/>
  <c r="L14" i="1" a="1"/>
  <c r="L14" i="1"/>
  <c r="M14" i="1" a="1"/>
  <c r="M14" i="1"/>
  <c r="N14" i="1" a="1"/>
  <c r="N14" i="1"/>
  <c r="O14" i="1" a="1"/>
  <c r="O14" i="1" s="1"/>
  <c r="L17" i="1" a="1"/>
  <c r="L17" i="1" s="1"/>
  <c r="M17" i="1" a="1"/>
  <c r="M17" i="1" s="1"/>
  <c r="N17" i="1" a="1"/>
  <c r="N17" i="1" s="1"/>
  <c r="O17" i="1" a="1"/>
  <c r="O17" i="1" s="1"/>
  <c r="L18" i="1" a="1"/>
  <c r="L18" i="1" s="1"/>
  <c r="M18" i="1" a="1"/>
  <c r="M18" i="1" s="1"/>
  <c r="N18" i="1" a="1"/>
  <c r="N18" i="1" s="1"/>
  <c r="O18" i="1" a="1"/>
  <c r="O18" i="1" s="1"/>
  <c r="L19" i="1" a="1"/>
  <c r="L19" i="1" s="1"/>
  <c r="M19" i="1" a="1"/>
  <c r="M19" i="1" s="1"/>
  <c r="N19" i="1" a="1"/>
  <c r="N19" i="1" s="1"/>
  <c r="O19" i="1" a="1"/>
  <c r="O19" i="1" s="1"/>
  <c r="I6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<sst xmlns="http://schemas.openxmlformats.org/spreadsheetml/2006/main" count="3257" uniqueCount="39">
  <si>
    <t>№</t>
  </si>
  <si>
    <t>Класс</t>
  </si>
  <si>
    <t>Итог</t>
  </si>
  <si>
    <t>Тип диплома</t>
  </si>
  <si>
    <t>Предмет</t>
  </si>
  <si>
    <t>Год</t>
  </si>
  <si>
    <t>Нормализованные баллы</t>
  </si>
  <si>
    <t>Баллы для всероссийского этапа</t>
  </si>
  <si>
    <t>Победитель</t>
  </si>
  <si>
    <t>биология</t>
  </si>
  <si>
    <t>Призер</t>
  </si>
  <si>
    <t>Участник</t>
  </si>
  <si>
    <t>Призёр</t>
  </si>
  <si>
    <t>литература</t>
  </si>
  <si>
    <t>математика</t>
  </si>
  <si>
    <t>Зд</t>
  </si>
  <si>
    <t>Прнзёр</t>
  </si>
  <si>
    <t>общество</t>
  </si>
  <si>
    <t>Гарантированное участие на всероссийском этапе (1 - есть, 0 - нет)</t>
  </si>
  <si>
    <t>9 класс</t>
  </si>
  <si>
    <t>10 класс</t>
  </si>
  <si>
    <t>11 класс</t>
  </si>
  <si>
    <t>2024 - год, когда регионы России обязали писать олимпиаду по московскому времени</t>
  </si>
  <si>
    <t>Медиана балла по биологии класс/год</t>
  </si>
  <si>
    <t>Медиана балла по литературе класс/год</t>
  </si>
  <si>
    <t>Медиана балла по математике класс/год</t>
  </si>
  <si>
    <t>Медиана балла по обществу класс/год</t>
  </si>
  <si>
    <t>Общий итог</t>
  </si>
  <si>
    <t xml:space="preserve"> </t>
  </si>
  <si>
    <t>Количество прошедших на всерос</t>
  </si>
  <si>
    <t>Года</t>
  </si>
  <si>
    <t>Доля прошедших на всерос от общего количества участников</t>
  </si>
  <si>
    <t/>
  </si>
  <si>
    <t>Вывод 1 по поводу влияния изменения времени начала олимпиады с 9:00 на 13:00:</t>
  </si>
  <si>
    <t>2024 год действительно оказался неудачным для участников олимпиады по литературе и биологии: заметно, что сильно снизились медианы по этим предметам, а также никто из участников не смог набрать необходимое для прохода на заключительный этап количество баллов. Но наблюдаемое явление, скорее всего, слабо связано с переводом времени начала олимпиады, так как участники олимпиад по математике и обществознанию напротив улучшили свои результаты в 2024 году. Наиболее вероятно, что никто не смог набрать проходные баллы в 2024 году по литературе и биологии из-за повысившихся проходных баллов и заданий повышенной сложности.</t>
  </si>
  <si>
    <t>Вывод 2 по гипотезе, что Красноярский край на всероссийском уровне представляют преимущественно математики</t>
  </si>
  <si>
    <t>Гипотеза не подтвердилась: Красноярский край действительно чаще других на всероссийском этапе представляют участники олимпиады по математики, но почти так же часто край представляют и литературоведы. Биологи находятся на 3 месте, а на олимпиаде по обществу Красноярский край за 4 последних года вообще не был кем-либо представлен.</t>
  </si>
  <si>
    <t>Вывод 3 о популярности всероса</t>
  </si>
  <si>
    <t>С каждым годом количество участников регионального этапа всош в сумме по рассмотренным 4 предметам растет, особенно заметно выросла популярность олимпиады по математике, которая и является самой посещаемой за последние 4 года. Олимпиада по литературе оказалась стабильной по участникам, заметно набирает популярность олимпиада по обществознанию.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</si>
</sst>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0" borderId="1" xfId="0" applyBorder="1"/>
    <xf numFmtId="2" fontId="0" fillId="4" borderId="1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2" fontId="0" fillId="5" borderId="1" xfId="0" applyNumberForma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pivotButton="1" applyBorder="1"/>
    <xf numFmtId="9" fontId="0" fillId="0" borderId="1" xfId="0" applyNumberFormat="1" applyBorder="1"/>
    <xf numFmtId="0" fontId="0" fillId="0" borderId="3" xfId="0" applyBorder="1"/>
    <xf numFmtId="0" fontId="0" fillId="0" borderId="2" xfId="0" applyBorder="1"/>
    <xf numFmtId="0" fontId="0" fillId="0" borderId="3" xfId="0" pivotButton="1" applyBorder="1"/>
    <xf numFmtId="0" fontId="0" fillId="0" borderId="1" xfId="0" pivotButton="1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</cellXfs>
  <cellStyles count="1">
    <cellStyle name="Обычный" xfId="0" builtinId="0"/>
  </cellStyles>
  <dxfs count="45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/>
    </dxf>
    <dxf>
      <alignment wrapText="1"/>
    </dxf>
    <dxf>
      <alignment vertical="top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vertical="top"/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сения Желтякова" refreshedDate="46107.2067650463" createdVersion="8" refreshedVersion="8" minRefreshableVersion="3" recordCount="1600" xr:uid="{2ADDAF3C-CDEE-469D-B971-1BD86E5EECCE}">
  <cacheSource type="worksheet">
    <worksheetSource ref="A1:I1601" sheet="Все данные и расчеты"/>
  </cacheSource>
  <cacheFields count="9">
    <cacheField name="№" numFmtId="0">
      <sharedItems containsMixedTypes="1" containsNumber="1" containsInteger="1" minValue="1" maxValue="49"/>
    </cacheField>
    <cacheField name="Класс" numFmtId="0">
      <sharedItems containsSemiMixedTypes="0" containsString="0" containsNumber="1" containsInteger="1" minValue="9" maxValue="11"/>
    </cacheField>
    <cacheField name="Итог" numFmtId="2">
      <sharedItems containsSemiMixedTypes="0" containsString="0" containsNumber="1" minValue="0" maxValue="226"/>
    </cacheField>
    <cacheField name="Тип диплома" numFmtId="0">
      <sharedItems/>
    </cacheField>
    <cacheField name="Предмет" numFmtId="0">
      <sharedItems count="4">
        <s v="биология"/>
        <s v="литература"/>
        <s v="математика"/>
        <s v="общество"/>
      </sharedItems>
    </cacheField>
    <cacheField name="Год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Нормализованные баллы" numFmtId="2">
      <sharedItems containsSemiMixedTypes="0" containsString="0" containsNumber="1" minValue="0" maxValue="100"/>
    </cacheField>
    <cacheField name="Баллы для всероссийского этапа" numFmtId="0">
      <sharedItems containsSemiMixedTypes="0" containsString="0" containsNumber="1" minValue="42" maxValue="210"/>
    </cacheField>
    <cacheField name="Гарантированное участие на всероссийском этапе (1 - есть, 0 - нет)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">
  <r>
    <n v="1"/>
    <n v="9"/>
    <n v="77"/>
    <s v="Победитель"/>
    <x v="0"/>
    <x v="0"/>
    <n v="77"/>
    <n v="66.7"/>
    <n v="1"/>
  </r>
  <r>
    <n v="2"/>
    <n v="9"/>
    <n v="60.3"/>
    <s v="Призер"/>
    <x v="0"/>
    <x v="0"/>
    <n v="60.3"/>
    <n v="66.7"/>
    <n v="0"/>
  </r>
  <r>
    <n v="3"/>
    <n v="9"/>
    <n v="58.3"/>
    <s v="Призер"/>
    <x v="0"/>
    <x v="0"/>
    <n v="58.3"/>
    <n v="66.7"/>
    <n v="0"/>
  </r>
  <r>
    <n v="4"/>
    <n v="9"/>
    <n v="57.2"/>
    <s v="Призер"/>
    <x v="0"/>
    <x v="0"/>
    <n v="57.2"/>
    <n v="66.7"/>
    <n v="0"/>
  </r>
  <r>
    <n v="5"/>
    <n v="9"/>
    <n v="54"/>
    <s v="Призер"/>
    <x v="0"/>
    <x v="0"/>
    <n v="54"/>
    <n v="66.7"/>
    <n v="0"/>
  </r>
  <r>
    <n v="6"/>
    <n v="9"/>
    <n v="50.4"/>
    <s v="Участник"/>
    <x v="0"/>
    <x v="0"/>
    <n v="50.4"/>
    <n v="66.7"/>
    <n v="0"/>
  </r>
  <r>
    <n v="7"/>
    <n v="9"/>
    <n v="50.3"/>
    <s v="Участник"/>
    <x v="0"/>
    <x v="0"/>
    <n v="50.3"/>
    <n v="66.7"/>
    <n v="0"/>
  </r>
  <r>
    <n v="8"/>
    <n v="9"/>
    <n v="47.7"/>
    <s v="Участник"/>
    <x v="0"/>
    <x v="0"/>
    <n v="47.7"/>
    <n v="66.7"/>
    <n v="0"/>
  </r>
  <r>
    <n v="9"/>
    <n v="9"/>
    <n v="47.3"/>
    <s v="Участник"/>
    <x v="0"/>
    <x v="0"/>
    <n v="47.3"/>
    <n v="66.7"/>
    <n v="0"/>
  </r>
  <r>
    <n v="10"/>
    <n v="9"/>
    <n v="46.4"/>
    <s v="Участник"/>
    <x v="0"/>
    <x v="0"/>
    <n v="46.4"/>
    <n v="66.7"/>
    <n v="0"/>
  </r>
  <r>
    <n v="11"/>
    <n v="9"/>
    <n v="41.3"/>
    <s v="Участник"/>
    <x v="0"/>
    <x v="0"/>
    <n v="41.3"/>
    <n v="66.7"/>
    <n v="0"/>
  </r>
  <r>
    <n v="12"/>
    <n v="9"/>
    <n v="41.1"/>
    <s v="Участник"/>
    <x v="0"/>
    <x v="0"/>
    <n v="41.1"/>
    <n v="66.7"/>
    <n v="0"/>
  </r>
  <r>
    <n v="13"/>
    <n v="9"/>
    <n v="40.299999999999997"/>
    <s v="Участник"/>
    <x v="0"/>
    <x v="0"/>
    <n v="40.299999999999997"/>
    <n v="66.7"/>
    <n v="0"/>
  </r>
  <r>
    <n v="14"/>
    <n v="9"/>
    <n v="35.799999999999997"/>
    <s v="Участник"/>
    <x v="0"/>
    <x v="0"/>
    <n v="35.799999999999997"/>
    <n v="66.7"/>
    <n v="0"/>
  </r>
  <r>
    <n v="15"/>
    <n v="9"/>
    <n v="34.9"/>
    <s v="Участник"/>
    <x v="0"/>
    <x v="0"/>
    <n v="34.9"/>
    <n v="66.7"/>
    <n v="0"/>
  </r>
  <r>
    <n v="16"/>
    <n v="9"/>
    <n v="28.9"/>
    <s v="Участник"/>
    <x v="0"/>
    <x v="0"/>
    <n v="28.9"/>
    <n v="66.7"/>
    <n v="0"/>
  </r>
  <r>
    <n v="17"/>
    <n v="9"/>
    <n v="28.4"/>
    <s v="Участник"/>
    <x v="0"/>
    <x v="0"/>
    <n v="28.4"/>
    <n v="66.7"/>
    <n v="0"/>
  </r>
  <r>
    <n v="18"/>
    <n v="9"/>
    <n v="27.8"/>
    <s v="Участник"/>
    <x v="0"/>
    <x v="0"/>
    <n v="27.8"/>
    <n v="66.7"/>
    <n v="0"/>
  </r>
  <r>
    <n v="19"/>
    <n v="9"/>
    <n v="27.1"/>
    <s v="Участник"/>
    <x v="0"/>
    <x v="0"/>
    <n v="27.1"/>
    <n v="66.7"/>
    <n v="0"/>
  </r>
  <r>
    <n v="20"/>
    <n v="9"/>
    <n v="25.7"/>
    <s v="Участник"/>
    <x v="0"/>
    <x v="0"/>
    <n v="25.7"/>
    <n v="66.7"/>
    <n v="0"/>
  </r>
  <r>
    <n v="21"/>
    <n v="9"/>
    <n v="19.2"/>
    <s v="Участник"/>
    <x v="0"/>
    <x v="0"/>
    <n v="19.2"/>
    <n v="66.7"/>
    <n v="0"/>
  </r>
  <r>
    <n v="1"/>
    <n v="10"/>
    <n v="69.2"/>
    <s v="Победитель"/>
    <x v="0"/>
    <x v="0"/>
    <n v="69.2"/>
    <n v="69.5"/>
    <n v="0"/>
  </r>
  <r>
    <n v="2"/>
    <n v="10"/>
    <n v="60.4"/>
    <s v="Призер"/>
    <x v="0"/>
    <x v="0"/>
    <n v="60.4"/>
    <n v="69.5"/>
    <n v="0"/>
  </r>
  <r>
    <n v="3"/>
    <n v="10"/>
    <n v="60.3"/>
    <s v="Призер"/>
    <x v="0"/>
    <x v="0"/>
    <n v="60.3"/>
    <n v="69.5"/>
    <n v="0"/>
  </r>
  <r>
    <n v="4"/>
    <n v="10"/>
    <n v="58.6"/>
    <s v="Призер"/>
    <x v="0"/>
    <x v="0"/>
    <n v="58.599999999999987"/>
    <n v="69.5"/>
    <n v="0"/>
  </r>
  <r>
    <n v="5"/>
    <n v="10"/>
    <n v="57.5"/>
    <s v="Призер"/>
    <x v="0"/>
    <x v="0"/>
    <n v="57.499999999999993"/>
    <n v="69.5"/>
    <n v="0"/>
  </r>
  <r>
    <n v="6"/>
    <n v="10"/>
    <n v="55.5"/>
    <s v="Призер"/>
    <x v="0"/>
    <x v="0"/>
    <n v="55.500000000000007"/>
    <n v="69.5"/>
    <n v="0"/>
  </r>
  <r>
    <n v="7"/>
    <n v="10"/>
    <n v="52.2"/>
    <s v="Призер"/>
    <x v="0"/>
    <x v="0"/>
    <n v="52.2"/>
    <n v="69.5"/>
    <n v="0"/>
  </r>
  <r>
    <n v="8"/>
    <n v="10"/>
    <n v="51.6"/>
    <s v="Призер"/>
    <x v="0"/>
    <x v="0"/>
    <n v="51.6"/>
    <n v="69.5"/>
    <n v="0"/>
  </r>
  <r>
    <n v="9"/>
    <n v="10"/>
    <n v="51"/>
    <s v="Призер"/>
    <x v="0"/>
    <x v="0"/>
    <n v="51"/>
    <n v="69.5"/>
    <n v="0"/>
  </r>
  <r>
    <n v="10"/>
    <n v="10"/>
    <n v="50.8"/>
    <s v="Участник"/>
    <x v="0"/>
    <x v="0"/>
    <n v="50.8"/>
    <n v="69.5"/>
    <n v="0"/>
  </r>
  <r>
    <n v="11"/>
    <n v="10"/>
    <n v="48.5"/>
    <s v="Участник"/>
    <x v="0"/>
    <x v="0"/>
    <n v="48.5"/>
    <n v="69.5"/>
    <n v="0"/>
  </r>
  <r>
    <n v="12"/>
    <n v="10"/>
    <n v="46.9"/>
    <s v="Участник"/>
    <x v="0"/>
    <x v="0"/>
    <n v="46.9"/>
    <n v="69.5"/>
    <n v="0"/>
  </r>
  <r>
    <n v="13"/>
    <n v="10"/>
    <n v="46.9"/>
    <s v="Участник"/>
    <x v="0"/>
    <x v="0"/>
    <n v="46.9"/>
    <n v="69.5"/>
    <n v="0"/>
  </r>
  <r>
    <n v="14"/>
    <n v="10"/>
    <n v="46.1"/>
    <s v="Участник"/>
    <x v="0"/>
    <x v="0"/>
    <n v="46.1"/>
    <n v="69.5"/>
    <n v="0"/>
  </r>
  <r>
    <n v="15"/>
    <n v="10"/>
    <n v="45.4"/>
    <s v="Участник"/>
    <x v="0"/>
    <x v="0"/>
    <n v="45.4"/>
    <n v="69.5"/>
    <n v="0"/>
  </r>
  <r>
    <n v="16"/>
    <n v="10"/>
    <n v="45.2"/>
    <s v="Участник"/>
    <x v="0"/>
    <x v="0"/>
    <n v="45.2"/>
    <n v="69.5"/>
    <n v="0"/>
  </r>
  <r>
    <n v="17"/>
    <n v="10"/>
    <n v="44.5"/>
    <s v="Участник"/>
    <x v="0"/>
    <x v="0"/>
    <n v="44.5"/>
    <n v="69.5"/>
    <n v="0"/>
  </r>
  <r>
    <n v="18"/>
    <n v="10"/>
    <n v="43.2"/>
    <s v="Участник"/>
    <x v="0"/>
    <x v="0"/>
    <n v="43.2"/>
    <n v="69.5"/>
    <n v="0"/>
  </r>
  <r>
    <n v="19"/>
    <n v="10"/>
    <n v="42.8"/>
    <s v="Участник"/>
    <x v="0"/>
    <x v="0"/>
    <n v="42.8"/>
    <n v="69.5"/>
    <n v="0"/>
  </r>
  <r>
    <n v="20"/>
    <n v="10"/>
    <n v="41"/>
    <s v="Участник"/>
    <x v="0"/>
    <x v="0"/>
    <n v="41"/>
    <n v="69.5"/>
    <n v="0"/>
  </r>
  <r>
    <n v="21"/>
    <n v="10"/>
    <n v="40.9"/>
    <s v="Участник"/>
    <x v="0"/>
    <x v="0"/>
    <n v="40.9"/>
    <n v="69.5"/>
    <n v="0"/>
  </r>
  <r>
    <n v="22"/>
    <n v="10"/>
    <n v="40.5"/>
    <s v="Участник"/>
    <x v="0"/>
    <x v="0"/>
    <n v="40.5"/>
    <n v="69.5"/>
    <n v="0"/>
  </r>
  <r>
    <n v="23"/>
    <n v="10"/>
    <n v="38.9"/>
    <s v="Участник"/>
    <x v="0"/>
    <x v="0"/>
    <n v="38.9"/>
    <n v="69.5"/>
    <n v="0"/>
  </r>
  <r>
    <n v="24"/>
    <n v="10"/>
    <n v="37"/>
    <s v="Участник"/>
    <x v="0"/>
    <x v="0"/>
    <n v="37"/>
    <n v="69.5"/>
    <n v="0"/>
  </r>
  <r>
    <n v="25"/>
    <n v="10"/>
    <n v="35.200000000000003"/>
    <s v="Участник"/>
    <x v="0"/>
    <x v="0"/>
    <n v="35.200000000000003"/>
    <n v="69.5"/>
    <n v="0"/>
  </r>
  <r>
    <n v="26"/>
    <n v="10"/>
    <n v="33.6"/>
    <s v="Участник"/>
    <x v="0"/>
    <x v="0"/>
    <n v="33.6"/>
    <n v="69.5"/>
    <n v="0"/>
  </r>
  <r>
    <n v="27"/>
    <n v="10"/>
    <n v="33.4"/>
    <s v="Участник"/>
    <x v="0"/>
    <x v="0"/>
    <n v="33.4"/>
    <n v="69.5"/>
    <n v="0"/>
  </r>
  <r>
    <n v="28"/>
    <n v="10"/>
    <n v="31.2"/>
    <s v="Участник"/>
    <x v="0"/>
    <x v="0"/>
    <n v="31.2"/>
    <n v="69.5"/>
    <n v="0"/>
  </r>
  <r>
    <n v="29"/>
    <n v="10"/>
    <n v="24.1"/>
    <s v="Участник"/>
    <x v="0"/>
    <x v="0"/>
    <n v="24.1"/>
    <n v="69.5"/>
    <n v="0"/>
  </r>
  <r>
    <n v="1"/>
    <n v="11"/>
    <n v="60.1"/>
    <s v="Победитель"/>
    <x v="0"/>
    <x v="0"/>
    <n v="60.099999999999987"/>
    <n v="68"/>
    <n v="0"/>
  </r>
  <r>
    <n v="2"/>
    <n v="11"/>
    <n v="52.7"/>
    <s v="Призер"/>
    <x v="0"/>
    <x v="0"/>
    <n v="52.7"/>
    <n v="68"/>
    <n v="0"/>
  </r>
  <r>
    <n v="3"/>
    <n v="11"/>
    <n v="51"/>
    <s v="Призер"/>
    <x v="0"/>
    <x v="0"/>
    <n v="51"/>
    <n v="68"/>
    <n v="0"/>
  </r>
  <r>
    <n v="4"/>
    <n v="11"/>
    <n v="50.7"/>
    <s v="Призер"/>
    <x v="0"/>
    <x v="0"/>
    <n v="50.7"/>
    <n v="68"/>
    <n v="0"/>
  </r>
  <r>
    <n v="5"/>
    <n v="11"/>
    <n v="45.8"/>
    <s v="Призер"/>
    <x v="0"/>
    <x v="0"/>
    <n v="45.8"/>
    <n v="68"/>
    <n v="0"/>
  </r>
  <r>
    <n v="6"/>
    <n v="11"/>
    <n v="45"/>
    <s v="Призер"/>
    <x v="0"/>
    <x v="0"/>
    <n v="45"/>
    <n v="68"/>
    <n v="0"/>
  </r>
  <r>
    <n v="7"/>
    <n v="11"/>
    <n v="44.3"/>
    <s v="Призер"/>
    <x v="0"/>
    <x v="0"/>
    <n v="44.3"/>
    <n v="68"/>
    <n v="0"/>
  </r>
  <r>
    <n v="8"/>
    <n v="11"/>
    <n v="41.1"/>
    <s v="Призер"/>
    <x v="0"/>
    <x v="0"/>
    <n v="41.1"/>
    <n v="68"/>
    <n v="0"/>
  </r>
  <r>
    <n v="9"/>
    <n v="11"/>
    <n v="41"/>
    <s v="Призер"/>
    <x v="0"/>
    <x v="0"/>
    <n v="41"/>
    <n v="68"/>
    <n v="0"/>
  </r>
  <r>
    <n v="10"/>
    <n v="11"/>
    <n v="40.5"/>
    <s v="Участник"/>
    <x v="0"/>
    <x v="0"/>
    <n v="40.5"/>
    <n v="68"/>
    <n v="0"/>
  </r>
  <r>
    <n v="11"/>
    <n v="11"/>
    <n v="40.299999999999997"/>
    <s v="Участник"/>
    <x v="0"/>
    <x v="0"/>
    <n v="40.299999999999997"/>
    <n v="68"/>
    <n v="0"/>
  </r>
  <r>
    <n v="12"/>
    <n v="11"/>
    <n v="40.299999999999997"/>
    <s v="Участник"/>
    <x v="0"/>
    <x v="0"/>
    <n v="40.299999999999997"/>
    <n v="68"/>
    <n v="0"/>
  </r>
  <r>
    <n v="13"/>
    <n v="11"/>
    <n v="40.1"/>
    <s v="Участник"/>
    <x v="0"/>
    <x v="0"/>
    <n v="40.1"/>
    <n v="68"/>
    <n v="0"/>
  </r>
  <r>
    <n v="14"/>
    <n v="11"/>
    <n v="39.799999999999997"/>
    <s v="Участник"/>
    <x v="0"/>
    <x v="0"/>
    <n v="39.799999999999997"/>
    <n v="68"/>
    <n v="0"/>
  </r>
  <r>
    <n v="15"/>
    <n v="11"/>
    <n v="39.6"/>
    <s v="Участник"/>
    <x v="0"/>
    <x v="0"/>
    <n v="39.6"/>
    <n v="68"/>
    <n v="0"/>
  </r>
  <r>
    <n v="16"/>
    <n v="11"/>
    <n v="39.299999999999997"/>
    <s v="Участник"/>
    <x v="0"/>
    <x v="0"/>
    <n v="39.299999999999997"/>
    <n v="68"/>
    <n v="0"/>
  </r>
  <r>
    <n v="17"/>
    <n v="11"/>
    <n v="39"/>
    <s v="Участник"/>
    <x v="0"/>
    <x v="0"/>
    <n v="39"/>
    <n v="68"/>
    <n v="0"/>
  </r>
  <r>
    <n v="18"/>
    <n v="11"/>
    <n v="38.799999999999997"/>
    <s v="Участник"/>
    <x v="0"/>
    <x v="0"/>
    <n v="38.799999999999997"/>
    <n v="68"/>
    <n v="0"/>
  </r>
  <r>
    <n v="19"/>
    <n v="11"/>
    <n v="38.1"/>
    <s v="Участник"/>
    <x v="0"/>
    <x v="0"/>
    <n v="38.1"/>
    <n v="68"/>
    <n v="0"/>
  </r>
  <r>
    <n v="20"/>
    <n v="11"/>
    <n v="37"/>
    <s v="Участник"/>
    <x v="0"/>
    <x v="0"/>
    <n v="37"/>
    <n v="68"/>
    <n v="0"/>
  </r>
  <r>
    <n v="21"/>
    <n v="11"/>
    <n v="34.9"/>
    <s v="Участник"/>
    <x v="0"/>
    <x v="0"/>
    <n v="34.9"/>
    <n v="68"/>
    <n v="0"/>
  </r>
  <r>
    <n v="22"/>
    <n v="11"/>
    <n v="34.5"/>
    <s v="Участник"/>
    <x v="0"/>
    <x v="0"/>
    <n v="34.5"/>
    <n v="68"/>
    <n v="0"/>
  </r>
  <r>
    <n v="23"/>
    <n v="11"/>
    <n v="34.4"/>
    <s v="Участник"/>
    <x v="0"/>
    <x v="0"/>
    <n v="34.4"/>
    <n v="68"/>
    <n v="0"/>
  </r>
  <r>
    <n v="24"/>
    <n v="11"/>
    <n v="33.799999999999997"/>
    <s v="Участник"/>
    <x v="0"/>
    <x v="0"/>
    <n v="33.799999999999997"/>
    <n v="68"/>
    <n v="0"/>
  </r>
  <r>
    <n v="25"/>
    <n v="11"/>
    <n v="33.5"/>
    <s v="Участник"/>
    <x v="0"/>
    <x v="0"/>
    <n v="33.5"/>
    <n v="68"/>
    <n v="0"/>
  </r>
  <r>
    <n v="26"/>
    <n v="11"/>
    <n v="32.1"/>
    <s v="Участник"/>
    <x v="0"/>
    <x v="0"/>
    <n v="32.1"/>
    <n v="68"/>
    <n v="0"/>
  </r>
  <r>
    <n v="27"/>
    <n v="11"/>
    <n v="30.1"/>
    <s v="Участник"/>
    <x v="0"/>
    <x v="0"/>
    <n v="30.1"/>
    <n v="68"/>
    <n v="0"/>
  </r>
  <r>
    <n v="28"/>
    <n v="11"/>
    <n v="30"/>
    <s v="Участник"/>
    <x v="0"/>
    <x v="0"/>
    <n v="30"/>
    <n v="68"/>
    <n v="0"/>
  </r>
  <r>
    <n v="29"/>
    <n v="11"/>
    <n v="29.2"/>
    <s v="Участник"/>
    <x v="0"/>
    <x v="0"/>
    <n v="29.2"/>
    <n v="68"/>
    <n v="0"/>
  </r>
  <r>
    <n v="30"/>
    <n v="11"/>
    <n v="28.1"/>
    <s v="Участник"/>
    <x v="0"/>
    <x v="0"/>
    <n v="28.1"/>
    <n v="68"/>
    <n v="0"/>
  </r>
  <r>
    <n v="31"/>
    <n v="11"/>
    <n v="27.9"/>
    <s v="Участник"/>
    <x v="0"/>
    <x v="0"/>
    <n v="27.9"/>
    <n v="68"/>
    <n v="0"/>
  </r>
  <r>
    <n v="32"/>
    <n v="11"/>
    <n v="27.7"/>
    <s v="Участник"/>
    <x v="0"/>
    <x v="0"/>
    <n v="27.7"/>
    <n v="68"/>
    <n v="0"/>
  </r>
  <r>
    <n v="33"/>
    <n v="11"/>
    <n v="27.5"/>
    <s v="Участник"/>
    <x v="0"/>
    <x v="0"/>
    <n v="27.5"/>
    <n v="68"/>
    <n v="0"/>
  </r>
  <r>
    <n v="34"/>
    <n v="11"/>
    <n v="27.4"/>
    <s v="Участник"/>
    <x v="0"/>
    <x v="0"/>
    <n v="27.4"/>
    <n v="68"/>
    <n v="0"/>
  </r>
  <r>
    <n v="35"/>
    <n v="11"/>
    <n v="26.1"/>
    <s v="Участник"/>
    <x v="0"/>
    <x v="0"/>
    <n v="26.1"/>
    <n v="68"/>
    <n v="0"/>
  </r>
  <r>
    <n v="1"/>
    <n v="9"/>
    <n v="69.099999999999994"/>
    <s v="Победитель"/>
    <x v="0"/>
    <x v="1"/>
    <n v="69.099999999999994"/>
    <n v="64.7"/>
    <n v="1"/>
  </r>
  <r>
    <n v="2"/>
    <n v="9"/>
    <n v="56.4"/>
    <s v="Призер"/>
    <x v="0"/>
    <x v="1"/>
    <n v="56.399999999999991"/>
    <n v="64.7"/>
    <n v="0"/>
  </r>
  <r>
    <n v="3"/>
    <n v="9"/>
    <n v="52"/>
    <s v="Призер"/>
    <x v="0"/>
    <x v="1"/>
    <n v="52"/>
    <n v="64.7"/>
    <n v="0"/>
  </r>
  <r>
    <n v="4"/>
    <n v="9"/>
    <n v="51.2"/>
    <s v="Призер"/>
    <x v="0"/>
    <x v="1"/>
    <n v="51.2"/>
    <n v="64.7"/>
    <n v="0"/>
  </r>
  <r>
    <n v="5"/>
    <n v="9"/>
    <n v="50"/>
    <s v="Призер"/>
    <x v="0"/>
    <x v="1"/>
    <n v="50"/>
    <n v="64.7"/>
    <n v="0"/>
  </r>
  <r>
    <n v="6"/>
    <n v="9"/>
    <n v="48.7"/>
    <s v="Призер"/>
    <x v="0"/>
    <x v="1"/>
    <n v="48.7"/>
    <n v="64.7"/>
    <n v="0"/>
  </r>
  <r>
    <n v="7"/>
    <n v="9"/>
    <n v="47.4"/>
    <s v="Призер"/>
    <x v="0"/>
    <x v="1"/>
    <n v="47.4"/>
    <n v="64.7"/>
    <n v="0"/>
  </r>
  <r>
    <n v="8"/>
    <n v="9"/>
    <n v="45.1"/>
    <s v="Призер"/>
    <x v="0"/>
    <x v="1"/>
    <n v="45.1"/>
    <n v="64.7"/>
    <n v="0"/>
  </r>
  <r>
    <n v="9"/>
    <n v="9"/>
    <n v="44.9"/>
    <s v="Призер"/>
    <x v="0"/>
    <x v="1"/>
    <n v="44.9"/>
    <n v="64.7"/>
    <n v="0"/>
  </r>
  <r>
    <n v="10"/>
    <n v="9"/>
    <n v="43.9"/>
    <s v="Призер"/>
    <x v="0"/>
    <x v="1"/>
    <n v="43.9"/>
    <n v="64.7"/>
    <n v="0"/>
  </r>
  <r>
    <n v="11"/>
    <n v="9"/>
    <n v="43.7"/>
    <s v="Участник"/>
    <x v="0"/>
    <x v="1"/>
    <n v="43.7"/>
    <n v="64.7"/>
    <n v="0"/>
  </r>
  <r>
    <n v="12"/>
    <n v="9"/>
    <n v="43"/>
    <s v="Участник"/>
    <x v="0"/>
    <x v="1"/>
    <n v="43"/>
    <n v="64.7"/>
    <n v="0"/>
  </r>
  <r>
    <n v="13"/>
    <n v="9"/>
    <n v="42.9"/>
    <s v="Участник"/>
    <x v="0"/>
    <x v="1"/>
    <n v="42.9"/>
    <n v="64.7"/>
    <n v="0"/>
  </r>
  <r>
    <n v="14"/>
    <n v="9"/>
    <n v="42.8"/>
    <s v="Участник"/>
    <x v="0"/>
    <x v="1"/>
    <n v="42.8"/>
    <n v="64.7"/>
    <n v="0"/>
  </r>
  <r>
    <n v="15"/>
    <n v="9"/>
    <n v="41.5"/>
    <s v="Участник"/>
    <x v="0"/>
    <x v="1"/>
    <n v="41.5"/>
    <n v="64.7"/>
    <n v="0"/>
  </r>
  <r>
    <n v="16"/>
    <n v="9"/>
    <n v="40.700000000000003"/>
    <s v="Участник"/>
    <x v="0"/>
    <x v="1"/>
    <n v="40.700000000000003"/>
    <n v="64.7"/>
    <n v="0"/>
  </r>
  <r>
    <n v="17"/>
    <n v="9"/>
    <n v="39.5"/>
    <s v="Участник"/>
    <x v="0"/>
    <x v="1"/>
    <n v="39.5"/>
    <n v="64.7"/>
    <n v="0"/>
  </r>
  <r>
    <n v="18"/>
    <n v="9"/>
    <n v="38.200000000000003"/>
    <s v="Участник"/>
    <x v="0"/>
    <x v="1"/>
    <n v="38.200000000000003"/>
    <n v="64.7"/>
    <n v="0"/>
  </r>
  <r>
    <n v="19"/>
    <n v="9"/>
    <n v="37.799999999999997"/>
    <s v="Участник"/>
    <x v="0"/>
    <x v="1"/>
    <n v="37.799999999999997"/>
    <n v="64.7"/>
    <n v="0"/>
  </r>
  <r>
    <n v="20"/>
    <n v="9"/>
    <n v="36.1"/>
    <s v="Участник"/>
    <x v="0"/>
    <x v="1"/>
    <n v="36.1"/>
    <n v="64.7"/>
    <n v="0"/>
  </r>
  <r>
    <n v="21"/>
    <n v="9"/>
    <n v="35.5"/>
    <s v="Участник"/>
    <x v="0"/>
    <x v="1"/>
    <n v="35.5"/>
    <n v="64.7"/>
    <n v="0"/>
  </r>
  <r>
    <n v="22"/>
    <n v="9"/>
    <n v="35.4"/>
    <s v="Участник"/>
    <x v="0"/>
    <x v="1"/>
    <n v="35.4"/>
    <n v="64.7"/>
    <n v="0"/>
  </r>
  <r>
    <n v="23"/>
    <n v="9"/>
    <n v="34.700000000000003"/>
    <s v="Участник"/>
    <x v="0"/>
    <x v="1"/>
    <n v="34.700000000000003"/>
    <n v="64.7"/>
    <n v="0"/>
  </r>
  <r>
    <n v="24"/>
    <n v="9"/>
    <n v="33.5"/>
    <s v="Участник"/>
    <x v="0"/>
    <x v="1"/>
    <n v="33.5"/>
    <n v="64.7"/>
    <n v="0"/>
  </r>
  <r>
    <n v="25"/>
    <n v="9"/>
    <n v="33"/>
    <s v="Участник"/>
    <x v="0"/>
    <x v="1"/>
    <n v="33"/>
    <n v="64.7"/>
    <n v="0"/>
  </r>
  <r>
    <n v="26"/>
    <n v="9"/>
    <n v="32.299999999999997"/>
    <s v="Участник"/>
    <x v="0"/>
    <x v="1"/>
    <n v="32.299999999999997"/>
    <n v="64.7"/>
    <n v="0"/>
  </r>
  <r>
    <n v="27"/>
    <n v="9"/>
    <n v="30.8"/>
    <s v="Участник"/>
    <x v="0"/>
    <x v="1"/>
    <n v="30.8"/>
    <n v="64.7"/>
    <n v="0"/>
  </r>
  <r>
    <n v="28"/>
    <n v="9"/>
    <n v="30.3"/>
    <s v="Участник"/>
    <x v="0"/>
    <x v="1"/>
    <n v="30.3"/>
    <n v="64.7"/>
    <n v="0"/>
  </r>
  <r>
    <n v="29"/>
    <n v="9"/>
    <n v="29.9"/>
    <s v="Участник"/>
    <x v="0"/>
    <x v="1"/>
    <n v="29.9"/>
    <n v="64.7"/>
    <n v="0"/>
  </r>
  <r>
    <n v="30"/>
    <n v="9"/>
    <n v="28.9"/>
    <s v="Участник"/>
    <x v="0"/>
    <x v="1"/>
    <n v="28.9"/>
    <n v="64.7"/>
    <n v="0"/>
  </r>
  <r>
    <n v="31"/>
    <n v="9"/>
    <n v="27.8"/>
    <s v="Участник"/>
    <x v="0"/>
    <x v="1"/>
    <n v="27.8"/>
    <n v="64.7"/>
    <n v="0"/>
  </r>
  <r>
    <n v="1"/>
    <n v="10"/>
    <n v="57.3"/>
    <s v="Победитель"/>
    <x v="0"/>
    <x v="1"/>
    <n v="57.3"/>
    <n v="64.3"/>
    <n v="0"/>
  </r>
  <r>
    <n v="2"/>
    <n v="10"/>
    <n v="54.4"/>
    <s v="Победитель"/>
    <x v="0"/>
    <x v="1"/>
    <n v="54.400000000000013"/>
    <n v="64.3"/>
    <n v="0"/>
  </r>
  <r>
    <n v="3"/>
    <n v="10"/>
    <n v="53.1"/>
    <s v="Призер"/>
    <x v="0"/>
    <x v="1"/>
    <n v="53.1"/>
    <n v="64.3"/>
    <n v="0"/>
  </r>
  <r>
    <n v="4"/>
    <n v="10"/>
    <n v="52.4"/>
    <s v="Призер"/>
    <x v="0"/>
    <x v="1"/>
    <n v="52.400000000000013"/>
    <n v="64.3"/>
    <n v="0"/>
  </r>
  <r>
    <n v="5"/>
    <n v="10"/>
    <n v="52.1"/>
    <s v="Призер"/>
    <x v="0"/>
    <x v="1"/>
    <n v="52.1"/>
    <n v="64.3"/>
    <n v="0"/>
  </r>
  <r>
    <n v="6"/>
    <n v="10"/>
    <n v="49.6"/>
    <s v="Призер"/>
    <x v="0"/>
    <x v="1"/>
    <n v="49.6"/>
    <n v="64.3"/>
    <n v="0"/>
  </r>
  <r>
    <n v="7"/>
    <n v="10"/>
    <n v="49"/>
    <s v="Призер"/>
    <x v="0"/>
    <x v="1"/>
    <n v="49"/>
    <n v="64.3"/>
    <n v="0"/>
  </r>
  <r>
    <n v="8"/>
    <n v="10"/>
    <n v="48.4"/>
    <s v="Призер"/>
    <x v="0"/>
    <x v="1"/>
    <n v="48.4"/>
    <n v="64.3"/>
    <n v="0"/>
  </r>
  <r>
    <n v="9"/>
    <n v="10"/>
    <n v="46.4"/>
    <s v="Призер"/>
    <x v="0"/>
    <x v="1"/>
    <n v="46.4"/>
    <n v="64.3"/>
    <n v="0"/>
  </r>
  <r>
    <n v="10"/>
    <n v="10"/>
    <n v="45.7"/>
    <s v="Призер"/>
    <x v="0"/>
    <x v="1"/>
    <n v="45.7"/>
    <n v="64.3"/>
    <n v="0"/>
  </r>
  <r>
    <n v="11"/>
    <n v="10"/>
    <n v="45.1"/>
    <s v="Призер"/>
    <x v="0"/>
    <x v="1"/>
    <n v="45.1"/>
    <n v="64.3"/>
    <n v="0"/>
  </r>
  <r>
    <n v="12"/>
    <n v="10"/>
    <n v="44.6"/>
    <s v="Призер"/>
    <x v="0"/>
    <x v="1"/>
    <n v="44.6"/>
    <n v="64.3"/>
    <n v="0"/>
  </r>
  <r>
    <n v="13"/>
    <n v="10"/>
    <n v="43.8"/>
    <s v="Участник"/>
    <x v="0"/>
    <x v="1"/>
    <n v="43.8"/>
    <n v="64.3"/>
    <n v="0"/>
  </r>
  <r>
    <n v="14"/>
    <n v="10"/>
    <n v="42.7"/>
    <s v="Участник"/>
    <x v="0"/>
    <x v="1"/>
    <n v="42.7"/>
    <n v="64.3"/>
    <n v="0"/>
  </r>
  <r>
    <n v="15"/>
    <n v="10"/>
    <n v="40.9"/>
    <s v="Участник"/>
    <x v="0"/>
    <x v="1"/>
    <n v="40.9"/>
    <n v="64.3"/>
    <n v="0"/>
  </r>
  <r>
    <n v="16"/>
    <n v="10"/>
    <n v="40.700000000000003"/>
    <s v="Участник"/>
    <x v="0"/>
    <x v="1"/>
    <n v="40.700000000000003"/>
    <n v="64.3"/>
    <n v="0"/>
  </r>
  <r>
    <n v="17"/>
    <n v="10"/>
    <n v="39.6"/>
    <s v="Участник"/>
    <x v="0"/>
    <x v="1"/>
    <n v="39.6"/>
    <n v="64.3"/>
    <n v="0"/>
  </r>
  <r>
    <n v="18"/>
    <n v="10"/>
    <n v="37.5"/>
    <s v="Участник"/>
    <x v="0"/>
    <x v="1"/>
    <n v="37.5"/>
    <n v="64.3"/>
    <n v="0"/>
  </r>
  <r>
    <n v="19"/>
    <n v="10"/>
    <n v="36.4"/>
    <s v="Участник"/>
    <x v="0"/>
    <x v="1"/>
    <n v="36.4"/>
    <n v="64.3"/>
    <n v="0"/>
  </r>
  <r>
    <n v="20"/>
    <n v="10"/>
    <n v="36.299999999999997"/>
    <s v="Участник"/>
    <x v="0"/>
    <x v="1"/>
    <n v="36.299999999999997"/>
    <n v="64.3"/>
    <n v="0"/>
  </r>
  <r>
    <n v="21"/>
    <n v="10"/>
    <n v="36"/>
    <s v="Участник"/>
    <x v="0"/>
    <x v="1"/>
    <n v="36"/>
    <n v="64.3"/>
    <n v="0"/>
  </r>
  <r>
    <n v="22"/>
    <n v="10"/>
    <n v="35.299999999999997"/>
    <s v="Участник"/>
    <x v="0"/>
    <x v="1"/>
    <n v="35.299999999999997"/>
    <n v="64.3"/>
    <n v="0"/>
  </r>
  <r>
    <n v="23"/>
    <n v="10"/>
    <n v="35.200000000000003"/>
    <s v="Участник"/>
    <x v="0"/>
    <x v="1"/>
    <n v="35.200000000000003"/>
    <n v="64.3"/>
    <n v="0"/>
  </r>
  <r>
    <n v="24"/>
    <n v="10"/>
    <n v="31.4"/>
    <s v="Участник"/>
    <x v="0"/>
    <x v="1"/>
    <n v="31.4"/>
    <n v="64.3"/>
    <n v="0"/>
  </r>
  <r>
    <n v="25"/>
    <n v="10"/>
    <n v="31.2"/>
    <s v="Участник"/>
    <x v="0"/>
    <x v="1"/>
    <n v="31.2"/>
    <n v="64.3"/>
    <n v="0"/>
  </r>
  <r>
    <n v="26"/>
    <n v="10"/>
    <n v="31"/>
    <s v="Участник"/>
    <x v="0"/>
    <x v="1"/>
    <n v="31"/>
    <n v="64.3"/>
    <n v="0"/>
  </r>
  <r>
    <n v="27"/>
    <n v="10"/>
    <n v="29.9"/>
    <s v="Участник"/>
    <x v="0"/>
    <x v="1"/>
    <n v="29.9"/>
    <n v="64.3"/>
    <n v="0"/>
  </r>
  <r>
    <n v="28"/>
    <n v="10"/>
    <n v="19.3"/>
    <s v="Участник"/>
    <x v="0"/>
    <x v="1"/>
    <n v="19.3"/>
    <n v="64.3"/>
    <n v="0"/>
  </r>
  <r>
    <n v="1"/>
    <n v="11"/>
    <n v="68.5"/>
    <s v="Победитель"/>
    <x v="0"/>
    <x v="1"/>
    <n v="68.5"/>
    <n v="72.400000000000006"/>
    <n v="0"/>
  </r>
  <r>
    <n v="2"/>
    <n v="11"/>
    <n v="53.3"/>
    <s v="Призер"/>
    <x v="0"/>
    <x v="1"/>
    <n v="53.29999999999999"/>
    <n v="72.400000000000006"/>
    <n v="0"/>
  </r>
  <r>
    <n v="3"/>
    <n v="11"/>
    <n v="46.6"/>
    <s v="Призер"/>
    <x v="0"/>
    <x v="1"/>
    <n v="46.6"/>
    <n v="72.400000000000006"/>
    <n v="0"/>
  </r>
  <r>
    <n v="4"/>
    <n v="11"/>
    <n v="45.4"/>
    <s v="Призер"/>
    <x v="0"/>
    <x v="1"/>
    <n v="45.4"/>
    <n v="72.400000000000006"/>
    <n v="0"/>
  </r>
  <r>
    <n v="5"/>
    <n v="11"/>
    <n v="43.9"/>
    <s v="Призер"/>
    <x v="0"/>
    <x v="1"/>
    <n v="43.9"/>
    <n v="72.400000000000006"/>
    <n v="0"/>
  </r>
  <r>
    <n v="6"/>
    <n v="11"/>
    <n v="43.2"/>
    <s v="Призер"/>
    <x v="0"/>
    <x v="1"/>
    <n v="43.2"/>
    <n v="72.400000000000006"/>
    <n v="0"/>
  </r>
  <r>
    <n v="7"/>
    <n v="11"/>
    <n v="42.6"/>
    <s v="Призер"/>
    <x v="0"/>
    <x v="1"/>
    <n v="42.6"/>
    <n v="72.400000000000006"/>
    <n v="0"/>
  </r>
  <r>
    <n v="8"/>
    <n v="11"/>
    <n v="41.9"/>
    <s v="Призер"/>
    <x v="0"/>
    <x v="1"/>
    <n v="41.9"/>
    <n v="72.400000000000006"/>
    <n v="0"/>
  </r>
  <r>
    <n v="9"/>
    <n v="11"/>
    <n v="41.3"/>
    <s v="Призер"/>
    <x v="0"/>
    <x v="1"/>
    <n v="41.3"/>
    <n v="72.400000000000006"/>
    <n v="0"/>
  </r>
  <r>
    <n v="10"/>
    <n v="11"/>
    <n v="40.299999999999997"/>
    <s v="Участник"/>
    <x v="0"/>
    <x v="1"/>
    <n v="40.299999999999997"/>
    <n v="72.400000000000006"/>
    <n v="0"/>
  </r>
  <r>
    <n v="11"/>
    <n v="11"/>
    <n v="39.4"/>
    <s v="Участник"/>
    <x v="0"/>
    <x v="1"/>
    <n v="39.4"/>
    <n v="72.400000000000006"/>
    <n v="0"/>
  </r>
  <r>
    <n v="12"/>
    <n v="11"/>
    <n v="39.1"/>
    <s v="Участник"/>
    <x v="0"/>
    <x v="1"/>
    <n v="39.1"/>
    <n v="72.400000000000006"/>
    <n v="0"/>
  </r>
  <r>
    <n v="13"/>
    <n v="11"/>
    <n v="38.299999999999997"/>
    <s v="Участник"/>
    <x v="0"/>
    <x v="1"/>
    <n v="38.299999999999997"/>
    <n v="72.400000000000006"/>
    <n v="0"/>
  </r>
  <r>
    <n v="14"/>
    <n v="11"/>
    <n v="37"/>
    <s v="Участник"/>
    <x v="0"/>
    <x v="1"/>
    <n v="37"/>
    <n v="72.400000000000006"/>
    <n v="0"/>
  </r>
  <r>
    <n v="15"/>
    <n v="11"/>
    <n v="35"/>
    <s v="Участник"/>
    <x v="0"/>
    <x v="1"/>
    <n v="35"/>
    <n v="72.400000000000006"/>
    <n v="0"/>
  </r>
  <r>
    <n v="16"/>
    <n v="11"/>
    <n v="34.700000000000003"/>
    <s v="Участник"/>
    <x v="0"/>
    <x v="1"/>
    <n v="34.700000000000003"/>
    <n v="72.400000000000006"/>
    <n v="0"/>
  </r>
  <r>
    <n v="17"/>
    <n v="11"/>
    <n v="33.700000000000003"/>
    <s v="Участник"/>
    <x v="0"/>
    <x v="1"/>
    <n v="33.700000000000003"/>
    <n v="72.400000000000006"/>
    <n v="0"/>
  </r>
  <r>
    <n v="18"/>
    <n v="11"/>
    <n v="33.6"/>
    <s v="Участник"/>
    <x v="0"/>
    <x v="1"/>
    <n v="33.6"/>
    <n v="72.400000000000006"/>
    <n v="0"/>
  </r>
  <r>
    <n v="19"/>
    <n v="11"/>
    <n v="31.4"/>
    <s v="Участник"/>
    <x v="0"/>
    <x v="1"/>
    <n v="31.4"/>
    <n v="72.400000000000006"/>
    <n v="0"/>
  </r>
  <r>
    <n v="20"/>
    <n v="11"/>
    <n v="31.3"/>
    <s v="Участник"/>
    <x v="0"/>
    <x v="1"/>
    <n v="31.3"/>
    <n v="72.400000000000006"/>
    <n v="0"/>
  </r>
  <r>
    <n v="21"/>
    <n v="11"/>
    <n v="31.1"/>
    <s v="Участник"/>
    <x v="0"/>
    <x v="1"/>
    <n v="31.1"/>
    <n v="72.400000000000006"/>
    <n v="0"/>
  </r>
  <r>
    <n v="22"/>
    <n v="11"/>
    <n v="30.7"/>
    <s v="Участник"/>
    <x v="0"/>
    <x v="1"/>
    <n v="30.7"/>
    <n v="72.400000000000006"/>
    <n v="0"/>
  </r>
  <r>
    <n v="23"/>
    <n v="11"/>
    <n v="30.4"/>
    <s v="Участник"/>
    <x v="0"/>
    <x v="1"/>
    <n v="30.4"/>
    <n v="72.400000000000006"/>
    <n v="0"/>
  </r>
  <r>
    <n v="24"/>
    <n v="11"/>
    <n v="29.3"/>
    <s v="Участник"/>
    <x v="0"/>
    <x v="1"/>
    <n v="29.3"/>
    <n v="72.400000000000006"/>
    <n v="0"/>
  </r>
  <r>
    <n v="25"/>
    <n v="11"/>
    <n v="28.6"/>
    <s v="Участник"/>
    <x v="0"/>
    <x v="1"/>
    <n v="28.6"/>
    <n v="72.400000000000006"/>
    <n v="0"/>
  </r>
  <r>
    <n v="26"/>
    <n v="11"/>
    <n v="27.3"/>
    <s v="Участник"/>
    <x v="0"/>
    <x v="1"/>
    <n v="27.3"/>
    <n v="72.400000000000006"/>
    <n v="0"/>
  </r>
  <r>
    <n v="27"/>
    <n v="11"/>
    <n v="26.8"/>
    <s v="Участник"/>
    <x v="0"/>
    <x v="1"/>
    <n v="26.8"/>
    <n v="72.400000000000006"/>
    <n v="0"/>
  </r>
  <r>
    <n v="28"/>
    <n v="11"/>
    <n v="25.8"/>
    <s v="Участник"/>
    <x v="0"/>
    <x v="1"/>
    <n v="25.8"/>
    <n v="72.400000000000006"/>
    <n v="0"/>
  </r>
  <r>
    <n v="29"/>
    <n v="11"/>
    <n v="24.9"/>
    <s v="Участник"/>
    <x v="0"/>
    <x v="1"/>
    <n v="24.9"/>
    <n v="72.400000000000006"/>
    <n v="0"/>
  </r>
  <r>
    <n v="30"/>
    <n v="11"/>
    <n v="23.6"/>
    <s v="Участник"/>
    <x v="0"/>
    <x v="1"/>
    <n v="23.6"/>
    <n v="72.400000000000006"/>
    <n v="0"/>
  </r>
  <r>
    <n v="1"/>
    <n v="9"/>
    <n v="62.1"/>
    <s v="Победитель"/>
    <x v="0"/>
    <x v="2"/>
    <n v="62.1"/>
    <n v="65.099999999999994"/>
    <n v="0"/>
  </r>
  <r>
    <n v="2"/>
    <n v="9"/>
    <n v="54.2"/>
    <s v="Победитель"/>
    <x v="0"/>
    <x v="2"/>
    <n v="54.2"/>
    <n v="65.099999999999994"/>
    <n v="0"/>
  </r>
  <r>
    <n v="3"/>
    <n v="9"/>
    <n v="42.9"/>
    <s v="Призёр"/>
    <x v="0"/>
    <x v="2"/>
    <n v="42.9"/>
    <n v="65.099999999999994"/>
    <n v="0"/>
  </r>
  <r>
    <n v="4"/>
    <n v="9"/>
    <n v="42.8"/>
    <s v="Призёр"/>
    <x v="0"/>
    <x v="2"/>
    <n v="42.8"/>
    <n v="65.099999999999994"/>
    <n v="0"/>
  </r>
  <r>
    <n v="5"/>
    <n v="9"/>
    <n v="42"/>
    <s v="Призёр"/>
    <x v="0"/>
    <x v="2"/>
    <n v="42"/>
    <n v="65.099999999999994"/>
    <n v="0"/>
  </r>
  <r>
    <n v="6"/>
    <n v="9"/>
    <n v="40.799999999999997"/>
    <s v="Призёр"/>
    <x v="0"/>
    <x v="2"/>
    <n v="40.799999999999997"/>
    <n v="65.099999999999994"/>
    <n v="0"/>
  </r>
  <r>
    <n v="7"/>
    <n v="9"/>
    <n v="38"/>
    <s v="Призёр"/>
    <x v="0"/>
    <x v="2"/>
    <n v="38"/>
    <n v="65.099999999999994"/>
    <n v="0"/>
  </r>
  <r>
    <n v="8"/>
    <n v="9"/>
    <n v="36.9"/>
    <s v="Призёр"/>
    <x v="0"/>
    <x v="2"/>
    <n v="36.9"/>
    <n v="65.099999999999994"/>
    <n v="0"/>
  </r>
  <r>
    <n v="9"/>
    <n v="9"/>
    <n v="36.299999999999997"/>
    <s v="Призёр"/>
    <x v="0"/>
    <x v="2"/>
    <n v="36.299999999999997"/>
    <n v="65.099999999999994"/>
    <n v="0"/>
  </r>
  <r>
    <n v="10"/>
    <n v="9"/>
    <n v="35.299999999999997"/>
    <s v="Призёр"/>
    <x v="0"/>
    <x v="2"/>
    <n v="35.299999999999997"/>
    <n v="65.099999999999994"/>
    <n v="0"/>
  </r>
  <r>
    <n v="11"/>
    <n v="9"/>
    <n v="34.700000000000003"/>
    <s v="Участник"/>
    <x v="0"/>
    <x v="2"/>
    <n v="34.700000000000003"/>
    <n v="65.099999999999994"/>
    <n v="0"/>
  </r>
  <r>
    <n v="12"/>
    <n v="9"/>
    <n v="34.4"/>
    <s v="Участник"/>
    <x v="0"/>
    <x v="2"/>
    <n v="34.4"/>
    <n v="65.099999999999994"/>
    <n v="0"/>
  </r>
  <r>
    <n v="13"/>
    <n v="9"/>
    <n v="33.299999999999997"/>
    <s v="Участник"/>
    <x v="0"/>
    <x v="2"/>
    <n v="33.299999999999997"/>
    <n v="65.099999999999994"/>
    <n v="0"/>
  </r>
  <r>
    <n v="14"/>
    <n v="9"/>
    <n v="32.1"/>
    <s v="Участник"/>
    <x v="0"/>
    <x v="2"/>
    <n v="32.1"/>
    <n v="65.099999999999994"/>
    <n v="0"/>
  </r>
  <r>
    <n v="15"/>
    <n v="9"/>
    <n v="31.1"/>
    <s v="Участник"/>
    <x v="0"/>
    <x v="2"/>
    <n v="31.1"/>
    <n v="65.099999999999994"/>
    <n v="0"/>
  </r>
  <r>
    <n v="16"/>
    <n v="9"/>
    <n v="30.4"/>
    <s v="Участник"/>
    <x v="0"/>
    <x v="2"/>
    <n v="30.4"/>
    <n v="65.099999999999994"/>
    <n v="0"/>
  </r>
  <r>
    <n v="17"/>
    <n v="9"/>
    <n v="28.2"/>
    <s v="Участник"/>
    <x v="0"/>
    <x v="2"/>
    <n v="28.2"/>
    <n v="65.099999999999994"/>
    <n v="0"/>
  </r>
  <r>
    <n v="18"/>
    <n v="9"/>
    <n v="27.9"/>
    <s v="Участник"/>
    <x v="0"/>
    <x v="2"/>
    <n v="27.9"/>
    <n v="65.099999999999994"/>
    <n v="0"/>
  </r>
  <r>
    <n v="19"/>
    <n v="9"/>
    <n v="27.8"/>
    <s v="Участник"/>
    <x v="0"/>
    <x v="2"/>
    <n v="27.8"/>
    <n v="65.099999999999994"/>
    <n v="0"/>
  </r>
  <r>
    <n v="20"/>
    <n v="9"/>
    <n v="26.2"/>
    <s v="Участник"/>
    <x v="0"/>
    <x v="2"/>
    <n v="26.2"/>
    <n v="65.099999999999994"/>
    <n v="0"/>
  </r>
  <r>
    <n v="21"/>
    <n v="9"/>
    <n v="25.6"/>
    <s v="Участник"/>
    <x v="0"/>
    <x v="2"/>
    <n v="25.6"/>
    <n v="65.099999999999994"/>
    <n v="0"/>
  </r>
  <r>
    <n v="22"/>
    <n v="9"/>
    <n v="25.5"/>
    <s v="Участник"/>
    <x v="0"/>
    <x v="2"/>
    <n v="25.5"/>
    <n v="65.099999999999994"/>
    <n v="0"/>
  </r>
  <r>
    <n v="23"/>
    <n v="9"/>
    <n v="24.8"/>
    <s v="Участник"/>
    <x v="0"/>
    <x v="2"/>
    <n v="24.8"/>
    <n v="65.099999999999994"/>
    <n v="0"/>
  </r>
  <r>
    <n v="24"/>
    <n v="9"/>
    <n v="24.8"/>
    <s v="Участник"/>
    <x v="0"/>
    <x v="2"/>
    <n v="24.8"/>
    <n v="65.099999999999994"/>
    <n v="0"/>
  </r>
  <r>
    <n v="25"/>
    <n v="9"/>
    <n v="24.6"/>
    <s v="Участник"/>
    <x v="0"/>
    <x v="2"/>
    <n v="24.6"/>
    <n v="65.099999999999994"/>
    <n v="0"/>
  </r>
  <r>
    <n v="26"/>
    <n v="9"/>
    <n v="23.4"/>
    <s v="Участник"/>
    <x v="0"/>
    <x v="2"/>
    <n v="23.4"/>
    <n v="65.099999999999994"/>
    <n v="0"/>
  </r>
  <r>
    <n v="27"/>
    <n v="9"/>
    <n v="20.6"/>
    <s v="Участник"/>
    <x v="0"/>
    <x v="2"/>
    <n v="20.6"/>
    <n v="65.099999999999994"/>
    <n v="0"/>
  </r>
  <r>
    <n v="28"/>
    <n v="9"/>
    <n v="20.399999999999999"/>
    <s v="Участник"/>
    <x v="0"/>
    <x v="2"/>
    <n v="20.399999999999999"/>
    <n v="65.099999999999994"/>
    <n v="0"/>
  </r>
  <r>
    <n v="29"/>
    <n v="9"/>
    <n v="20"/>
    <s v="Участник"/>
    <x v="0"/>
    <x v="2"/>
    <n v="20"/>
    <n v="65.099999999999994"/>
    <n v="0"/>
  </r>
  <r>
    <n v="30"/>
    <n v="9"/>
    <n v="16.8"/>
    <s v="Участник"/>
    <x v="0"/>
    <x v="2"/>
    <n v="16.8"/>
    <n v="65.099999999999994"/>
    <n v="0"/>
  </r>
  <r>
    <n v="1"/>
    <n v="10"/>
    <n v="55.1"/>
    <s v="Победитель"/>
    <x v="0"/>
    <x v="2"/>
    <n v="55.1"/>
    <n v="66.099999999999994"/>
    <n v="0"/>
  </r>
  <r>
    <n v="2"/>
    <n v="10"/>
    <n v="51.5"/>
    <s v="Победитель"/>
    <x v="0"/>
    <x v="2"/>
    <n v="51.5"/>
    <n v="66.099999999999994"/>
    <n v="0"/>
  </r>
  <r>
    <n v="3"/>
    <n v="10"/>
    <n v="49.1"/>
    <s v="Победитель"/>
    <x v="0"/>
    <x v="2"/>
    <n v="49.1"/>
    <n v="66.099999999999994"/>
    <n v="0"/>
  </r>
  <r>
    <n v="4"/>
    <n v="10"/>
    <n v="47.9"/>
    <s v="Призёр"/>
    <x v="0"/>
    <x v="2"/>
    <n v="47.9"/>
    <n v="66.099999999999994"/>
    <n v="0"/>
  </r>
  <r>
    <n v="5"/>
    <n v="10"/>
    <n v="47.6"/>
    <s v="Призёр"/>
    <x v="0"/>
    <x v="2"/>
    <n v="47.6"/>
    <n v="66.099999999999994"/>
    <n v="0"/>
  </r>
  <r>
    <n v="6"/>
    <n v="10"/>
    <n v="46.2"/>
    <s v="Призёр"/>
    <x v="0"/>
    <x v="2"/>
    <n v="46.2"/>
    <n v="66.099999999999994"/>
    <n v="0"/>
  </r>
  <r>
    <n v="7"/>
    <n v="10"/>
    <n v="45.8"/>
    <s v="Призёр"/>
    <x v="0"/>
    <x v="2"/>
    <n v="45.8"/>
    <n v="66.099999999999994"/>
    <n v="0"/>
  </r>
  <r>
    <n v="8"/>
    <n v="10"/>
    <n v="45.1"/>
    <s v="Призёр"/>
    <x v="0"/>
    <x v="2"/>
    <n v="45.1"/>
    <n v="66.099999999999994"/>
    <n v="0"/>
  </r>
  <r>
    <n v="9"/>
    <n v="10"/>
    <n v="44.9"/>
    <s v="Призёр"/>
    <x v="0"/>
    <x v="2"/>
    <n v="44.9"/>
    <n v="66.099999999999994"/>
    <n v="0"/>
  </r>
  <r>
    <n v="10"/>
    <n v="10"/>
    <n v="44.4"/>
    <s v="Призёр"/>
    <x v="0"/>
    <x v="2"/>
    <n v="44.4"/>
    <n v="66.099999999999994"/>
    <n v="0"/>
  </r>
  <r>
    <n v="11"/>
    <n v="10"/>
    <n v="43.8"/>
    <s v="Призёр"/>
    <x v="0"/>
    <x v="2"/>
    <n v="43.8"/>
    <n v="66.099999999999994"/>
    <n v="0"/>
  </r>
  <r>
    <n v="12"/>
    <n v="10"/>
    <n v="43.7"/>
    <s v="Призёр"/>
    <x v="0"/>
    <x v="2"/>
    <n v="43.7"/>
    <n v="66.099999999999994"/>
    <n v="0"/>
  </r>
  <r>
    <n v="13"/>
    <n v="10"/>
    <n v="43.6"/>
    <s v="Призёр"/>
    <x v="0"/>
    <x v="2"/>
    <n v="43.6"/>
    <n v="66.099999999999994"/>
    <n v="0"/>
  </r>
  <r>
    <n v="14"/>
    <n v="10"/>
    <n v="38.4"/>
    <s v="Участник"/>
    <x v="0"/>
    <x v="2"/>
    <n v="38.4"/>
    <n v="66.099999999999994"/>
    <n v="0"/>
  </r>
  <r>
    <n v="15"/>
    <n v="10"/>
    <n v="38.1"/>
    <s v="Участник"/>
    <x v="0"/>
    <x v="2"/>
    <n v="38.1"/>
    <n v="66.099999999999994"/>
    <n v="0"/>
  </r>
  <r>
    <n v="16"/>
    <n v="10"/>
    <n v="37.9"/>
    <s v="Участник"/>
    <x v="0"/>
    <x v="2"/>
    <n v="37.9"/>
    <n v="66.099999999999994"/>
    <n v="0"/>
  </r>
  <r>
    <n v="17"/>
    <n v="10"/>
    <n v="37.9"/>
    <s v="Участник"/>
    <x v="0"/>
    <x v="2"/>
    <n v="37.9"/>
    <n v="66.099999999999994"/>
    <n v="0"/>
  </r>
  <r>
    <n v="18"/>
    <n v="10"/>
    <n v="35.799999999999997"/>
    <s v="Участник"/>
    <x v="0"/>
    <x v="2"/>
    <n v="35.799999999999997"/>
    <n v="66.099999999999994"/>
    <n v="0"/>
  </r>
  <r>
    <n v="19"/>
    <n v="10"/>
    <n v="34.799999999999997"/>
    <s v="Участник"/>
    <x v="0"/>
    <x v="2"/>
    <n v="34.799999999999997"/>
    <n v="66.099999999999994"/>
    <n v="0"/>
  </r>
  <r>
    <n v="20"/>
    <n v="10"/>
    <n v="34.700000000000003"/>
    <s v="Участник"/>
    <x v="0"/>
    <x v="2"/>
    <n v="34.700000000000003"/>
    <n v="66.099999999999994"/>
    <n v="0"/>
  </r>
  <r>
    <n v="21"/>
    <n v="10"/>
    <n v="33.9"/>
    <s v="Участник"/>
    <x v="0"/>
    <x v="2"/>
    <n v="33.9"/>
    <n v="66.099999999999994"/>
    <n v="0"/>
  </r>
  <r>
    <n v="22"/>
    <n v="10"/>
    <n v="33.200000000000003"/>
    <s v="Участник"/>
    <x v="0"/>
    <x v="2"/>
    <n v="33.200000000000003"/>
    <n v="66.099999999999994"/>
    <n v="0"/>
  </r>
  <r>
    <n v="23"/>
    <n v="10"/>
    <n v="33.1"/>
    <s v="Участник"/>
    <x v="0"/>
    <x v="2"/>
    <n v="33.1"/>
    <n v="66.099999999999994"/>
    <n v="0"/>
  </r>
  <r>
    <n v="24"/>
    <n v="10"/>
    <n v="32"/>
    <s v="Участник"/>
    <x v="0"/>
    <x v="2"/>
    <n v="32"/>
    <n v="66.099999999999994"/>
    <n v="0"/>
  </r>
  <r>
    <n v="25"/>
    <n v="10"/>
    <n v="32"/>
    <s v="Участник"/>
    <x v="0"/>
    <x v="2"/>
    <n v="32"/>
    <n v="66.099999999999994"/>
    <n v="0"/>
  </r>
  <r>
    <n v="26"/>
    <n v="10"/>
    <n v="31.7"/>
    <s v="Участник"/>
    <x v="0"/>
    <x v="2"/>
    <n v="31.7"/>
    <n v="66.099999999999994"/>
    <n v="0"/>
  </r>
  <r>
    <n v="27"/>
    <n v="10"/>
    <n v="31.6"/>
    <s v="Участник"/>
    <x v="0"/>
    <x v="2"/>
    <n v="31.6"/>
    <n v="66.099999999999994"/>
    <n v="0"/>
  </r>
  <r>
    <n v="28"/>
    <n v="10"/>
    <n v="31.6"/>
    <s v="Участник"/>
    <x v="0"/>
    <x v="2"/>
    <n v="31.6"/>
    <n v="66.099999999999994"/>
    <n v="0"/>
  </r>
  <r>
    <n v="29"/>
    <n v="10"/>
    <n v="28.9"/>
    <s v="Участник"/>
    <x v="0"/>
    <x v="2"/>
    <n v="28.9"/>
    <n v="66.099999999999994"/>
    <n v="0"/>
  </r>
  <r>
    <n v="30"/>
    <n v="10"/>
    <n v="27.8"/>
    <s v="Участник"/>
    <x v="0"/>
    <x v="2"/>
    <n v="27.8"/>
    <n v="66.099999999999994"/>
    <n v="0"/>
  </r>
  <r>
    <n v="31"/>
    <n v="10"/>
    <n v="26.5"/>
    <s v="Участник"/>
    <x v="0"/>
    <x v="2"/>
    <n v="26.5"/>
    <n v="66.099999999999994"/>
    <n v="0"/>
  </r>
  <r>
    <n v="32"/>
    <n v="10"/>
    <n v="26.5"/>
    <s v="Участник"/>
    <x v="0"/>
    <x v="2"/>
    <n v="26.5"/>
    <n v="66.099999999999994"/>
    <n v="0"/>
  </r>
  <r>
    <n v="33"/>
    <n v="10"/>
    <n v="26.3"/>
    <s v="Участник"/>
    <x v="0"/>
    <x v="2"/>
    <n v="26.3"/>
    <n v="66.099999999999994"/>
    <n v="0"/>
  </r>
  <r>
    <n v="34"/>
    <n v="10"/>
    <n v="26.2"/>
    <s v="Участник"/>
    <x v="0"/>
    <x v="2"/>
    <n v="26.2"/>
    <n v="66.099999999999994"/>
    <n v="0"/>
  </r>
  <r>
    <n v="35"/>
    <n v="10"/>
    <n v="23.2"/>
    <s v="Участник"/>
    <x v="0"/>
    <x v="2"/>
    <n v="23.2"/>
    <n v="66.099999999999994"/>
    <n v="0"/>
  </r>
  <r>
    <n v="36"/>
    <n v="10"/>
    <n v="22.6"/>
    <s v="Участник"/>
    <x v="0"/>
    <x v="2"/>
    <n v="22.6"/>
    <n v="66.099999999999994"/>
    <n v="0"/>
  </r>
  <r>
    <n v="37"/>
    <n v="10"/>
    <n v="21.9"/>
    <s v="Участник"/>
    <x v="0"/>
    <x v="2"/>
    <n v="21.9"/>
    <n v="66.099999999999994"/>
    <n v="0"/>
  </r>
  <r>
    <n v="38"/>
    <n v="10"/>
    <n v="12.1"/>
    <s v="Участник"/>
    <x v="0"/>
    <x v="2"/>
    <n v="12.1"/>
    <n v="66.099999999999994"/>
    <n v="0"/>
  </r>
  <r>
    <n v="1"/>
    <n v="11"/>
    <n v="56.9"/>
    <s v="Победитель"/>
    <x v="0"/>
    <x v="2"/>
    <n v="56.899999999999991"/>
    <n v="64.5"/>
    <n v="0"/>
  </r>
  <r>
    <n v="2"/>
    <n v="11"/>
    <n v="50.2"/>
    <s v="Победитель"/>
    <x v="0"/>
    <x v="2"/>
    <n v="50.2"/>
    <n v="64.5"/>
    <n v="0"/>
  </r>
  <r>
    <n v="3"/>
    <n v="11"/>
    <n v="49.6"/>
    <s v="Победитель"/>
    <x v="0"/>
    <x v="2"/>
    <n v="49.6"/>
    <n v="64.5"/>
    <n v="0"/>
  </r>
  <r>
    <n v="4"/>
    <n v="11"/>
    <n v="47.8"/>
    <s v="Призёр"/>
    <x v="0"/>
    <x v="2"/>
    <n v="47.8"/>
    <n v="64.5"/>
    <n v="0"/>
  </r>
  <r>
    <n v="5"/>
    <n v="11"/>
    <n v="41.6"/>
    <s v="Призёр"/>
    <x v="0"/>
    <x v="2"/>
    <n v="41.6"/>
    <n v="64.5"/>
    <n v="0"/>
  </r>
  <r>
    <n v="6"/>
    <n v="11"/>
    <n v="41.5"/>
    <s v="Призёр"/>
    <x v="0"/>
    <x v="2"/>
    <n v="41.5"/>
    <n v="64.5"/>
    <n v="0"/>
  </r>
  <r>
    <n v="7"/>
    <n v="11"/>
    <n v="40.799999999999997"/>
    <s v="Призёр"/>
    <x v="0"/>
    <x v="2"/>
    <n v="40.799999999999997"/>
    <n v="64.5"/>
    <n v="0"/>
  </r>
  <r>
    <n v="8"/>
    <n v="11"/>
    <n v="40.799999999999997"/>
    <s v="Призёр"/>
    <x v="0"/>
    <x v="2"/>
    <n v="40.799999999999997"/>
    <n v="64.5"/>
    <n v="0"/>
  </r>
  <r>
    <n v="9"/>
    <n v="11"/>
    <n v="40.6"/>
    <s v="Призёр"/>
    <x v="0"/>
    <x v="2"/>
    <n v="40.6"/>
    <n v="64.5"/>
    <n v="0"/>
  </r>
  <r>
    <n v="10"/>
    <n v="11"/>
    <n v="40.5"/>
    <s v="Призёр"/>
    <x v="0"/>
    <x v="2"/>
    <n v="40.5"/>
    <n v="64.5"/>
    <n v="0"/>
  </r>
  <r>
    <n v="11"/>
    <n v="11"/>
    <n v="40.5"/>
    <s v="Призёр"/>
    <x v="0"/>
    <x v="2"/>
    <n v="40.5"/>
    <n v="64.5"/>
    <n v="0"/>
  </r>
  <r>
    <n v="12"/>
    <n v="11"/>
    <n v="39.4"/>
    <s v="Призёр"/>
    <x v="0"/>
    <x v="2"/>
    <n v="39.4"/>
    <n v="64.5"/>
    <n v="0"/>
  </r>
  <r>
    <n v="13"/>
    <n v="11"/>
    <n v="39.1"/>
    <s v="Призёр"/>
    <x v="0"/>
    <x v="2"/>
    <n v="39.1"/>
    <n v="64.5"/>
    <n v="0"/>
  </r>
  <r>
    <n v="14"/>
    <n v="11"/>
    <n v="39"/>
    <s v="Призёр"/>
    <x v="0"/>
    <x v="2"/>
    <n v="39"/>
    <n v="64.5"/>
    <n v="0"/>
  </r>
  <r>
    <n v="15"/>
    <n v="11"/>
    <n v="38.799999999999997"/>
    <s v="Участник"/>
    <x v="0"/>
    <x v="2"/>
    <n v="38.799999999999997"/>
    <n v="64.5"/>
    <n v="0"/>
  </r>
  <r>
    <n v="16"/>
    <n v="11"/>
    <n v="38.799999999999997"/>
    <s v="Участник"/>
    <x v="0"/>
    <x v="2"/>
    <n v="38.799999999999997"/>
    <n v="64.5"/>
    <n v="0"/>
  </r>
  <r>
    <n v="17"/>
    <n v="11"/>
    <n v="38.6"/>
    <s v="Участник"/>
    <x v="0"/>
    <x v="2"/>
    <n v="38.6"/>
    <n v="64.5"/>
    <n v="0"/>
  </r>
  <r>
    <n v="18"/>
    <n v="11"/>
    <n v="38.4"/>
    <s v="Участник"/>
    <x v="0"/>
    <x v="2"/>
    <n v="38.4"/>
    <n v="64.5"/>
    <n v="0"/>
  </r>
  <r>
    <n v="19"/>
    <n v="11"/>
    <n v="37.700000000000003"/>
    <s v="Участник"/>
    <x v="0"/>
    <x v="2"/>
    <n v="37.700000000000003"/>
    <n v="64.5"/>
    <n v="0"/>
  </r>
  <r>
    <n v="20"/>
    <n v="11"/>
    <n v="37.5"/>
    <s v="Участник"/>
    <x v="0"/>
    <x v="2"/>
    <n v="37.5"/>
    <n v="64.5"/>
    <n v="0"/>
  </r>
  <r>
    <n v="21"/>
    <n v="11"/>
    <n v="37.4"/>
    <s v="Участник"/>
    <x v="0"/>
    <x v="2"/>
    <n v="37.4"/>
    <n v="64.5"/>
    <n v="0"/>
  </r>
  <r>
    <n v="22"/>
    <n v="11"/>
    <n v="36.799999999999997"/>
    <s v="Участник"/>
    <x v="0"/>
    <x v="2"/>
    <n v="36.799999999999997"/>
    <n v="64.5"/>
    <n v="0"/>
  </r>
  <r>
    <n v="23"/>
    <n v="11"/>
    <n v="36.6"/>
    <s v="Участник"/>
    <x v="0"/>
    <x v="2"/>
    <n v="36.6"/>
    <n v="64.5"/>
    <n v="0"/>
  </r>
  <r>
    <n v="24"/>
    <n v="11"/>
    <n v="36.6"/>
    <s v="Участник"/>
    <x v="0"/>
    <x v="2"/>
    <n v="36.6"/>
    <n v="64.5"/>
    <n v="0"/>
  </r>
  <r>
    <n v="25"/>
    <n v="11"/>
    <n v="35.9"/>
    <s v="Участник"/>
    <x v="0"/>
    <x v="2"/>
    <n v="35.9"/>
    <n v="64.5"/>
    <n v="0"/>
  </r>
  <r>
    <n v="26"/>
    <n v="11"/>
    <n v="35.5"/>
    <s v="Участник"/>
    <x v="0"/>
    <x v="2"/>
    <n v="35.5"/>
    <n v="64.5"/>
    <n v="0"/>
  </r>
  <r>
    <n v="27"/>
    <n v="11"/>
    <n v="35.5"/>
    <s v="Участник"/>
    <x v="0"/>
    <x v="2"/>
    <n v="35.5"/>
    <n v="64.5"/>
    <n v="0"/>
  </r>
  <r>
    <n v="28"/>
    <n v="11"/>
    <n v="34.4"/>
    <s v="Участник"/>
    <x v="0"/>
    <x v="2"/>
    <n v="34.4"/>
    <n v="64.5"/>
    <n v="0"/>
  </r>
  <r>
    <n v="29"/>
    <n v="11"/>
    <n v="32.9"/>
    <s v="Участник"/>
    <x v="0"/>
    <x v="2"/>
    <n v="32.9"/>
    <n v="64.5"/>
    <n v="0"/>
  </r>
  <r>
    <n v="30"/>
    <n v="11"/>
    <n v="32.799999999999997"/>
    <s v="Участник"/>
    <x v="0"/>
    <x v="2"/>
    <n v="32.799999999999997"/>
    <n v="64.5"/>
    <n v="0"/>
  </r>
  <r>
    <n v="31"/>
    <n v="11"/>
    <n v="32.700000000000003"/>
    <s v="Участник"/>
    <x v="0"/>
    <x v="2"/>
    <n v="32.700000000000003"/>
    <n v="64.5"/>
    <n v="0"/>
  </r>
  <r>
    <n v="32"/>
    <n v="11"/>
    <n v="31.9"/>
    <s v="Участник"/>
    <x v="0"/>
    <x v="2"/>
    <n v="31.9"/>
    <n v="64.5"/>
    <n v="0"/>
  </r>
  <r>
    <n v="33"/>
    <n v="11"/>
    <n v="31.7"/>
    <s v="Участник"/>
    <x v="0"/>
    <x v="2"/>
    <n v="31.7"/>
    <n v="64.5"/>
    <n v="0"/>
  </r>
  <r>
    <n v="34"/>
    <n v="11"/>
    <n v="31.5"/>
    <s v="Участник"/>
    <x v="0"/>
    <x v="2"/>
    <n v="31.5"/>
    <n v="64.5"/>
    <n v="0"/>
  </r>
  <r>
    <n v="35"/>
    <n v="11"/>
    <n v="31"/>
    <s v="Участник"/>
    <x v="0"/>
    <x v="2"/>
    <n v="31"/>
    <n v="64.5"/>
    <n v="0"/>
  </r>
  <r>
    <n v="36"/>
    <n v="11"/>
    <n v="29.7"/>
    <s v="Участник"/>
    <x v="0"/>
    <x v="2"/>
    <n v="29.7"/>
    <n v="64.5"/>
    <n v="0"/>
  </r>
  <r>
    <n v="37"/>
    <n v="11"/>
    <n v="28.9"/>
    <s v="Участник"/>
    <x v="0"/>
    <x v="2"/>
    <n v="28.9"/>
    <n v="64.5"/>
    <n v="0"/>
  </r>
  <r>
    <n v="38"/>
    <n v="11"/>
    <n v="28.5"/>
    <s v="Участник"/>
    <x v="0"/>
    <x v="2"/>
    <n v="28.5"/>
    <n v="64.5"/>
    <n v="0"/>
  </r>
  <r>
    <n v="39"/>
    <n v="11"/>
    <n v="28.4"/>
    <s v="Участник"/>
    <x v="0"/>
    <x v="2"/>
    <n v="28.4"/>
    <n v="64.5"/>
    <n v="0"/>
  </r>
  <r>
    <n v="40"/>
    <n v="11"/>
    <n v="27.8"/>
    <s v="Участник"/>
    <x v="0"/>
    <x v="2"/>
    <n v="27.8"/>
    <n v="64.5"/>
    <n v="0"/>
  </r>
  <r>
    <n v="41"/>
    <n v="11"/>
    <n v="26.2"/>
    <s v="Участник"/>
    <x v="0"/>
    <x v="2"/>
    <n v="26.2"/>
    <n v="64.5"/>
    <n v="0"/>
  </r>
  <r>
    <n v="42"/>
    <n v="11"/>
    <n v="13.7"/>
    <s v="Участник"/>
    <x v="0"/>
    <x v="2"/>
    <n v="13.7"/>
    <n v="64.5"/>
    <n v="0"/>
  </r>
  <r>
    <n v="1"/>
    <n v="9"/>
    <n v="226"/>
    <s v="Победитель"/>
    <x v="0"/>
    <x v="3"/>
    <n v="72.435897435897431"/>
    <n v="205.5"/>
    <n v="1"/>
  </r>
  <r>
    <n v="2"/>
    <n v="9"/>
    <n v="194.5"/>
    <s v="Победитель"/>
    <x v="0"/>
    <x v="3"/>
    <n v="62.339743589743591"/>
    <n v="205.5"/>
    <n v="0"/>
  </r>
  <r>
    <n v="3"/>
    <n v="9"/>
    <n v="182"/>
    <s v="Победитель"/>
    <x v="0"/>
    <x v="3"/>
    <n v="58.333333333333343"/>
    <n v="205.5"/>
    <n v="0"/>
  </r>
  <r>
    <n v="4"/>
    <n v="9"/>
    <n v="162.5"/>
    <s v="Победитель"/>
    <x v="0"/>
    <x v="3"/>
    <n v="52.083333333333343"/>
    <n v="205.5"/>
    <n v="0"/>
  </r>
  <r>
    <n v="5"/>
    <n v="9"/>
    <n v="159"/>
    <s v="Призёр"/>
    <x v="0"/>
    <x v="3"/>
    <n v="50.96153846153846"/>
    <n v="205.5"/>
    <n v="0"/>
  </r>
  <r>
    <n v="6"/>
    <n v="9"/>
    <n v="155.5"/>
    <s v="Призёр"/>
    <x v="0"/>
    <x v="3"/>
    <n v="49.839743589743591"/>
    <n v="205.5"/>
    <n v="0"/>
  </r>
  <r>
    <n v="7"/>
    <n v="9"/>
    <n v="153.5"/>
    <s v="Призёр"/>
    <x v="0"/>
    <x v="3"/>
    <n v="49.198717948717949"/>
    <n v="205.5"/>
    <n v="0"/>
  </r>
  <r>
    <n v="8"/>
    <n v="9"/>
    <n v="146.5"/>
    <s v="Призёр"/>
    <x v="0"/>
    <x v="3"/>
    <n v="46.955128205128197"/>
    <n v="205.5"/>
    <n v="0"/>
  </r>
  <r>
    <n v="9"/>
    <n v="9"/>
    <n v="139"/>
    <s v="Призёр"/>
    <x v="0"/>
    <x v="3"/>
    <n v="44.551282051282051"/>
    <n v="205.5"/>
    <n v="0"/>
  </r>
  <r>
    <n v="10"/>
    <n v="9"/>
    <n v="137.5"/>
    <s v="Призёр"/>
    <x v="0"/>
    <x v="3"/>
    <n v="44.070512820512818"/>
    <n v="205.5"/>
    <n v="0"/>
  </r>
  <r>
    <n v="11"/>
    <n v="9"/>
    <n v="137"/>
    <s v="Призёр"/>
    <x v="0"/>
    <x v="3"/>
    <n v="43.910256410256409"/>
    <n v="205.5"/>
    <n v="0"/>
  </r>
  <r>
    <n v="12"/>
    <n v="9"/>
    <n v="136.5"/>
    <s v="Призёр"/>
    <x v="0"/>
    <x v="3"/>
    <n v="43.75"/>
    <n v="205.5"/>
    <n v="0"/>
  </r>
  <r>
    <n v="13"/>
    <n v="9"/>
    <n v="135.5"/>
    <s v="Призёр"/>
    <x v="0"/>
    <x v="3"/>
    <n v="43.429487179487182"/>
    <n v="205.5"/>
    <n v="0"/>
  </r>
  <r>
    <n v="14"/>
    <n v="9"/>
    <n v="132"/>
    <s v="Призёр"/>
    <x v="0"/>
    <x v="3"/>
    <n v="42.307692307692307"/>
    <n v="205.5"/>
    <n v="0"/>
  </r>
  <r>
    <n v="15"/>
    <n v="9"/>
    <n v="130"/>
    <s v="Призёр"/>
    <x v="0"/>
    <x v="3"/>
    <n v="41.666666666666671"/>
    <n v="205.5"/>
    <n v="0"/>
  </r>
  <r>
    <n v="16"/>
    <n v="9"/>
    <n v="128.5"/>
    <s v="Призёр"/>
    <x v="0"/>
    <x v="3"/>
    <n v="41.185897435897431"/>
    <n v="205.5"/>
    <n v="0"/>
  </r>
  <r>
    <n v="17"/>
    <n v="9"/>
    <n v="125.5"/>
    <s v="Призёр"/>
    <x v="0"/>
    <x v="3"/>
    <n v="40.224358974358978"/>
    <n v="205.5"/>
    <n v="0"/>
  </r>
  <r>
    <n v="18"/>
    <n v="9"/>
    <n v="125.5"/>
    <s v="Призёр"/>
    <x v="0"/>
    <x v="3"/>
    <n v="40.224358974358978"/>
    <n v="205.5"/>
    <n v="0"/>
  </r>
  <r>
    <n v="19"/>
    <n v="9"/>
    <n v="121"/>
    <s v="Призёр"/>
    <x v="0"/>
    <x v="3"/>
    <n v="38.782051282051277"/>
    <n v="205.5"/>
    <n v="0"/>
  </r>
  <r>
    <n v="20"/>
    <n v="9"/>
    <n v="120"/>
    <s v="Призёр"/>
    <x v="0"/>
    <x v="3"/>
    <n v="38.461538461538467"/>
    <n v="205.5"/>
    <n v="0"/>
  </r>
  <r>
    <n v="21"/>
    <n v="9"/>
    <n v="118"/>
    <s v="Призёр"/>
    <x v="0"/>
    <x v="3"/>
    <n v="37.820512820512818"/>
    <n v="205.5"/>
    <n v="0"/>
  </r>
  <r>
    <n v="22"/>
    <n v="9"/>
    <n v="118"/>
    <s v="Призёр"/>
    <x v="0"/>
    <x v="3"/>
    <n v="37.820512820512818"/>
    <n v="205.5"/>
    <n v="0"/>
  </r>
  <r>
    <n v="23"/>
    <n v="9"/>
    <n v="115.5"/>
    <s v="Участник"/>
    <x v="0"/>
    <x v="3"/>
    <n v="37.019230769230766"/>
    <n v="205.5"/>
    <n v="0"/>
  </r>
  <r>
    <n v="24"/>
    <n v="9"/>
    <n v="115.5"/>
    <s v="Участник"/>
    <x v="0"/>
    <x v="3"/>
    <n v="37.019230769230766"/>
    <n v="205.5"/>
    <n v="0"/>
  </r>
  <r>
    <n v="25"/>
    <n v="9"/>
    <n v="115.5"/>
    <s v="Участник"/>
    <x v="0"/>
    <x v="3"/>
    <n v="37.019230769230766"/>
    <n v="205.5"/>
    <n v="0"/>
  </r>
  <r>
    <n v="26"/>
    <n v="9"/>
    <n v="115"/>
    <s v="Участник"/>
    <x v="0"/>
    <x v="3"/>
    <n v="36.858974358974358"/>
    <n v="205.5"/>
    <n v="0"/>
  </r>
  <r>
    <n v="27"/>
    <n v="9"/>
    <n v="115"/>
    <s v="Участник"/>
    <x v="0"/>
    <x v="3"/>
    <n v="36.858974358974358"/>
    <n v="205.5"/>
    <n v="0"/>
  </r>
  <r>
    <n v="28"/>
    <n v="9"/>
    <n v="115"/>
    <s v="Участник"/>
    <x v="0"/>
    <x v="3"/>
    <n v="36.858974358974358"/>
    <n v="205.5"/>
    <n v="0"/>
  </r>
  <r>
    <n v="29"/>
    <n v="9"/>
    <n v="112"/>
    <s v="Участник"/>
    <x v="0"/>
    <x v="3"/>
    <n v="35.897435897435898"/>
    <n v="205.5"/>
    <n v="0"/>
  </r>
  <r>
    <n v="30"/>
    <n v="9"/>
    <n v="112"/>
    <s v="Участник"/>
    <x v="0"/>
    <x v="3"/>
    <n v="35.897435897435898"/>
    <n v="205.5"/>
    <n v="0"/>
  </r>
  <r>
    <n v="31"/>
    <n v="9"/>
    <n v="111.5"/>
    <s v="Участник"/>
    <x v="0"/>
    <x v="3"/>
    <n v="35.737179487179489"/>
    <n v="205.5"/>
    <n v="0"/>
  </r>
  <r>
    <n v="32"/>
    <n v="9"/>
    <n v="110.5"/>
    <s v="Участник"/>
    <x v="0"/>
    <x v="3"/>
    <n v="35.416666666666671"/>
    <n v="205.5"/>
    <n v="0"/>
  </r>
  <r>
    <n v="33"/>
    <n v="9"/>
    <n v="109"/>
    <s v="Участник"/>
    <x v="0"/>
    <x v="3"/>
    <n v="34.935897435897431"/>
    <n v="205.5"/>
    <n v="0"/>
  </r>
  <r>
    <n v="34"/>
    <n v="9"/>
    <n v="107.5"/>
    <s v="Участник"/>
    <x v="0"/>
    <x v="3"/>
    <n v="34.455128205128197"/>
    <n v="205.5"/>
    <n v="0"/>
  </r>
  <r>
    <n v="35"/>
    <n v="9"/>
    <n v="106.5"/>
    <s v="Участник"/>
    <x v="0"/>
    <x v="3"/>
    <n v="34.134615384615387"/>
    <n v="205.5"/>
    <n v="0"/>
  </r>
  <r>
    <n v="36"/>
    <n v="9"/>
    <n v="103"/>
    <s v="Участник"/>
    <x v="0"/>
    <x v="3"/>
    <n v="33.012820512820511"/>
    <n v="205.5"/>
    <n v="0"/>
  </r>
  <r>
    <n v="37"/>
    <n v="9"/>
    <n v="103"/>
    <s v="Участник"/>
    <x v="0"/>
    <x v="3"/>
    <n v="33.012820512820511"/>
    <n v="205.5"/>
    <n v="0"/>
  </r>
  <r>
    <n v="38"/>
    <n v="9"/>
    <n v="101"/>
    <s v="Участник"/>
    <x v="0"/>
    <x v="3"/>
    <n v="32.371794871794883"/>
    <n v="205.5"/>
    <n v="0"/>
  </r>
  <r>
    <n v="39"/>
    <n v="9"/>
    <n v="100"/>
    <s v="Участник"/>
    <x v="0"/>
    <x v="3"/>
    <n v="32.051282051282051"/>
    <n v="205.5"/>
    <n v="0"/>
  </r>
  <r>
    <n v="40"/>
    <n v="9"/>
    <n v="100"/>
    <s v="Участник"/>
    <x v="0"/>
    <x v="3"/>
    <n v="32.051282051282051"/>
    <n v="205.5"/>
    <n v="0"/>
  </r>
  <r>
    <n v="41"/>
    <n v="9"/>
    <n v="99.5"/>
    <s v="Участник"/>
    <x v="0"/>
    <x v="3"/>
    <n v="31.891025641025639"/>
    <n v="205.5"/>
    <n v="0"/>
  </r>
  <r>
    <n v="42"/>
    <n v="9"/>
    <n v="99.5"/>
    <s v="Участник"/>
    <x v="0"/>
    <x v="3"/>
    <n v="31.891025641025639"/>
    <n v="205.5"/>
    <n v="0"/>
  </r>
  <r>
    <n v="43"/>
    <n v="9"/>
    <n v="99"/>
    <s v="Участник"/>
    <x v="0"/>
    <x v="3"/>
    <n v="31.73076923076923"/>
    <n v="205.5"/>
    <n v="0"/>
  </r>
  <r>
    <n v="44"/>
    <n v="9"/>
    <n v="98.5"/>
    <s v="Участник"/>
    <x v="0"/>
    <x v="3"/>
    <n v="31.570512820512821"/>
    <n v="205.5"/>
    <n v="0"/>
  </r>
  <r>
    <n v="45"/>
    <n v="9"/>
    <n v="88.5"/>
    <s v="Участник"/>
    <x v="0"/>
    <x v="3"/>
    <n v="28.36538461538461"/>
    <n v="205.5"/>
    <n v="0"/>
  </r>
  <r>
    <n v="46"/>
    <n v="9"/>
    <n v="81"/>
    <s v="Участник"/>
    <x v="0"/>
    <x v="3"/>
    <n v="25.96153846153846"/>
    <n v="205.5"/>
    <n v="0"/>
  </r>
  <r>
    <n v="47"/>
    <n v="9"/>
    <n v="76.5"/>
    <s v="Участник"/>
    <x v="0"/>
    <x v="3"/>
    <n v="24.51923076923077"/>
    <n v="205.5"/>
    <n v="0"/>
  </r>
  <r>
    <n v="48"/>
    <n v="9"/>
    <n v="57"/>
    <s v="Участник"/>
    <x v="0"/>
    <x v="3"/>
    <n v="18.26923076923077"/>
    <n v="205.5"/>
    <n v="0"/>
  </r>
  <r>
    <n v="49"/>
    <n v="9"/>
    <n v="0"/>
    <s v="Участник"/>
    <x v="0"/>
    <x v="3"/>
    <n v="0"/>
    <n v="205.5"/>
    <n v="0"/>
  </r>
  <r>
    <n v="1"/>
    <n v="10"/>
    <n v="161.5"/>
    <s v="Победитель"/>
    <x v="0"/>
    <x v="3"/>
    <n v="51.762820512820518"/>
    <n v="210"/>
    <n v="0"/>
  </r>
  <r>
    <n v="2"/>
    <n v="10"/>
    <n v="156"/>
    <s v="Победитель"/>
    <x v="0"/>
    <x v="3"/>
    <n v="50"/>
    <n v="210"/>
    <n v="0"/>
  </r>
  <r>
    <n v="3"/>
    <n v="10"/>
    <n v="152.5"/>
    <s v="Победитель"/>
    <x v="0"/>
    <x v="3"/>
    <n v="48.878205128205117"/>
    <n v="210"/>
    <n v="0"/>
  </r>
  <r>
    <n v="4"/>
    <n v="10"/>
    <n v="145.5"/>
    <s v="Призёр"/>
    <x v="0"/>
    <x v="3"/>
    <n v="46.634615384615387"/>
    <n v="210"/>
    <n v="0"/>
  </r>
  <r>
    <n v="5"/>
    <n v="10"/>
    <n v="141.5"/>
    <s v="Призёр"/>
    <x v="0"/>
    <x v="3"/>
    <n v="45.352564102564102"/>
    <n v="210"/>
    <n v="0"/>
  </r>
  <r>
    <n v="6"/>
    <n v="10"/>
    <n v="133"/>
    <s v="Призёр"/>
    <x v="0"/>
    <x v="3"/>
    <n v="42.628205128205117"/>
    <n v="210"/>
    <n v="0"/>
  </r>
  <r>
    <n v="7"/>
    <n v="10"/>
    <n v="129.5"/>
    <s v="Призёр"/>
    <x v="0"/>
    <x v="3"/>
    <n v="41.506410256410263"/>
    <n v="210"/>
    <n v="0"/>
  </r>
  <r>
    <n v="8"/>
    <n v="10"/>
    <n v="129"/>
    <s v="Призёр"/>
    <x v="0"/>
    <x v="3"/>
    <n v="41.346153846153847"/>
    <n v="210"/>
    <n v="0"/>
  </r>
  <r>
    <n v="9"/>
    <n v="10"/>
    <n v="126"/>
    <s v="Призёр"/>
    <x v="0"/>
    <x v="3"/>
    <n v="40.384615384615387"/>
    <n v="210"/>
    <n v="0"/>
  </r>
  <r>
    <n v="10"/>
    <n v="10"/>
    <n v="123.5"/>
    <s v="Призёр"/>
    <x v="0"/>
    <x v="3"/>
    <n v="39.583333333333329"/>
    <n v="210"/>
    <n v="0"/>
  </r>
  <r>
    <n v="11"/>
    <n v="10"/>
    <n v="120.5"/>
    <s v="Призёр"/>
    <x v="0"/>
    <x v="3"/>
    <n v="38.621794871794883"/>
    <n v="210"/>
    <n v="0"/>
  </r>
  <r>
    <n v="12"/>
    <n v="10"/>
    <n v="120"/>
    <s v="Призёр"/>
    <x v="0"/>
    <x v="3"/>
    <n v="38.461538461538467"/>
    <n v="210"/>
    <n v="0"/>
  </r>
  <r>
    <n v="13"/>
    <n v="10"/>
    <n v="119.5"/>
    <s v="Призёр"/>
    <x v="0"/>
    <x v="3"/>
    <n v="38.301282051282051"/>
    <n v="210"/>
    <n v="0"/>
  </r>
  <r>
    <n v="14"/>
    <n v="10"/>
    <n v="117.5"/>
    <s v="Призёр"/>
    <x v="0"/>
    <x v="3"/>
    <n v="37.660256410256409"/>
    <n v="210"/>
    <n v="0"/>
  </r>
  <r>
    <n v="15"/>
    <n v="10"/>
    <n v="116"/>
    <s v="Призёр"/>
    <x v="0"/>
    <x v="3"/>
    <n v="37.179487179487182"/>
    <n v="210"/>
    <n v="0"/>
  </r>
  <r>
    <n v="16"/>
    <n v="10"/>
    <n v="115"/>
    <s v="Участник"/>
    <x v="0"/>
    <x v="3"/>
    <n v="36.858974358974358"/>
    <n v="210"/>
    <n v="0"/>
  </r>
  <r>
    <n v="17"/>
    <n v="10"/>
    <n v="115"/>
    <s v="Участник"/>
    <x v="0"/>
    <x v="3"/>
    <n v="36.858974358974358"/>
    <n v="210"/>
    <n v="0"/>
  </r>
  <r>
    <n v="18"/>
    <n v="10"/>
    <n v="109"/>
    <s v="Участник"/>
    <x v="0"/>
    <x v="3"/>
    <n v="34.935897435897431"/>
    <n v="210"/>
    <n v="0"/>
  </r>
  <r>
    <n v="19"/>
    <n v="10"/>
    <n v="109"/>
    <s v="Участник"/>
    <x v="0"/>
    <x v="3"/>
    <n v="34.935897435897431"/>
    <n v="210"/>
    <n v="0"/>
  </r>
  <r>
    <n v="20"/>
    <n v="10"/>
    <n v="107"/>
    <s v="Участник"/>
    <x v="0"/>
    <x v="3"/>
    <n v="34.294871794871803"/>
    <n v="210"/>
    <n v="0"/>
  </r>
  <r>
    <n v="21"/>
    <n v="10"/>
    <n v="106.5"/>
    <s v="Участник"/>
    <x v="0"/>
    <x v="3"/>
    <n v="34.134615384615387"/>
    <n v="210"/>
    <n v="0"/>
  </r>
  <r>
    <n v="22"/>
    <n v="10"/>
    <n v="101"/>
    <s v="Участник"/>
    <x v="0"/>
    <x v="3"/>
    <n v="32.371794871794883"/>
    <n v="210"/>
    <n v="0"/>
  </r>
  <r>
    <n v="23"/>
    <n v="10"/>
    <n v="96.5"/>
    <s v="Участник"/>
    <x v="0"/>
    <x v="3"/>
    <n v="30.929487179487179"/>
    <n v="210"/>
    <n v="0"/>
  </r>
  <r>
    <n v="24"/>
    <n v="10"/>
    <n v="92.5"/>
    <s v="Участник"/>
    <x v="0"/>
    <x v="3"/>
    <n v="29.647435897435901"/>
    <n v="210"/>
    <n v="0"/>
  </r>
  <r>
    <n v="25"/>
    <n v="10"/>
    <n v="92.5"/>
    <s v="Участник"/>
    <x v="0"/>
    <x v="3"/>
    <n v="29.647435897435901"/>
    <n v="210"/>
    <n v="0"/>
  </r>
  <r>
    <n v="26"/>
    <n v="10"/>
    <n v="89.5"/>
    <s v="Участник"/>
    <x v="0"/>
    <x v="3"/>
    <n v="28.685897435897431"/>
    <n v="210"/>
    <n v="0"/>
  </r>
  <r>
    <n v="27"/>
    <n v="10"/>
    <n v="87"/>
    <s v="Участник"/>
    <x v="0"/>
    <x v="3"/>
    <n v="27.88461538461539"/>
    <n v="210"/>
    <n v="0"/>
  </r>
  <r>
    <n v="28"/>
    <n v="10"/>
    <n v="85"/>
    <s v="Участник"/>
    <x v="0"/>
    <x v="3"/>
    <n v="27.243589743589741"/>
    <n v="210"/>
    <n v="0"/>
  </r>
  <r>
    <n v="29"/>
    <n v="10"/>
    <n v="83.5"/>
    <s v="Участник"/>
    <x v="0"/>
    <x v="3"/>
    <n v="26.762820512820511"/>
    <n v="210"/>
    <n v="0"/>
  </r>
  <r>
    <n v="30"/>
    <n v="10"/>
    <n v="81.5"/>
    <s v="Участник"/>
    <x v="0"/>
    <x v="3"/>
    <n v="26.121794871794869"/>
    <n v="210"/>
    <n v="0"/>
  </r>
  <r>
    <n v="31"/>
    <n v="10"/>
    <n v="78.5"/>
    <s v="Участник"/>
    <x v="0"/>
    <x v="3"/>
    <n v="25.160256410256409"/>
    <n v="210"/>
    <n v="0"/>
  </r>
  <r>
    <n v="32"/>
    <n v="10"/>
    <n v="76.5"/>
    <s v="Участник"/>
    <x v="0"/>
    <x v="3"/>
    <n v="24.51923076923077"/>
    <n v="210"/>
    <n v="0"/>
  </r>
  <r>
    <n v="33"/>
    <n v="10"/>
    <n v="74.3"/>
    <s v="Участник"/>
    <x v="0"/>
    <x v="3"/>
    <n v="23.814102564102559"/>
    <n v="210"/>
    <n v="0"/>
  </r>
  <r>
    <n v="34"/>
    <n v="10"/>
    <n v="71"/>
    <s v="Участник"/>
    <x v="0"/>
    <x v="3"/>
    <n v="22.756410256410259"/>
    <n v="210"/>
    <n v="0"/>
  </r>
  <r>
    <n v="35"/>
    <n v="10"/>
    <n v="67"/>
    <s v="Участник"/>
    <x v="0"/>
    <x v="3"/>
    <n v="21.474358974358971"/>
    <n v="210"/>
    <n v="0"/>
  </r>
  <r>
    <n v="1"/>
    <n v="11"/>
    <n v="186.2"/>
    <s v="Победитель"/>
    <x v="0"/>
    <x v="3"/>
    <n v="59.679487179487182"/>
    <n v="181"/>
    <n v="1"/>
  </r>
  <r>
    <n v="2"/>
    <n v="11"/>
    <n v="163.69999999999999"/>
    <s v="Победитель"/>
    <x v="0"/>
    <x v="3"/>
    <n v="52.467948717948708"/>
    <n v="181"/>
    <n v="0"/>
  </r>
  <r>
    <n v="3"/>
    <n v="11"/>
    <n v="154.5"/>
    <s v="Победитель"/>
    <x v="0"/>
    <x v="3"/>
    <n v="49.519230769230766"/>
    <n v="181"/>
    <n v="0"/>
  </r>
  <r>
    <n v="4"/>
    <n v="11"/>
    <n v="152.9"/>
    <s v="Призёр"/>
    <x v="0"/>
    <x v="3"/>
    <n v="49.006410256410263"/>
    <n v="181"/>
    <n v="0"/>
  </r>
  <r>
    <n v="5"/>
    <n v="11"/>
    <n v="150.5"/>
    <s v="Призёр"/>
    <x v="0"/>
    <x v="3"/>
    <n v="48.237179487179489"/>
    <n v="181"/>
    <n v="0"/>
  </r>
  <r>
    <n v="6"/>
    <n v="11"/>
    <n v="149.6"/>
    <s v="Призёр"/>
    <x v="0"/>
    <x v="3"/>
    <n v="47.948717948717942"/>
    <n v="181"/>
    <n v="0"/>
  </r>
  <r>
    <n v="7"/>
    <n v="11"/>
    <n v="149.5"/>
    <s v="Призёр"/>
    <x v="0"/>
    <x v="3"/>
    <n v="47.916666666666671"/>
    <n v="181"/>
    <n v="0"/>
  </r>
  <r>
    <n v="8"/>
    <n v="11"/>
    <n v="148.6"/>
    <s v="Призёр"/>
    <x v="0"/>
    <x v="3"/>
    <n v="47.628205128205117"/>
    <n v="181"/>
    <n v="0"/>
  </r>
  <r>
    <n v="9"/>
    <n v="11"/>
    <n v="144.5"/>
    <s v="Призёр"/>
    <x v="0"/>
    <x v="3"/>
    <n v="46.314102564102569"/>
    <n v="181"/>
    <n v="0"/>
  </r>
  <r>
    <n v="10"/>
    <n v="11"/>
    <n v="140"/>
    <s v="Призёр"/>
    <x v="0"/>
    <x v="3"/>
    <n v="44.871794871794883"/>
    <n v="181"/>
    <n v="0"/>
  </r>
  <r>
    <n v="11"/>
    <n v="11"/>
    <n v="137.19999999999999"/>
    <s v="Призёр"/>
    <x v="0"/>
    <x v="3"/>
    <n v="43.974358974358971"/>
    <n v="181"/>
    <n v="0"/>
  </r>
  <r>
    <n v="12"/>
    <n v="11"/>
    <n v="134"/>
    <s v="Призёр"/>
    <x v="0"/>
    <x v="3"/>
    <n v="42.948717948717949"/>
    <n v="181"/>
    <n v="0"/>
  </r>
  <r>
    <n v="13"/>
    <n v="11"/>
    <n v="133.80000000000001"/>
    <s v="Призёр"/>
    <x v="0"/>
    <x v="3"/>
    <n v="42.884615384615387"/>
    <n v="181"/>
    <n v="0"/>
  </r>
  <r>
    <n v="14"/>
    <n v="11"/>
    <n v="132"/>
    <s v="Призёр"/>
    <x v="0"/>
    <x v="3"/>
    <n v="42.307692307692307"/>
    <n v="181"/>
    <n v="0"/>
  </r>
  <r>
    <n v="15"/>
    <n v="11"/>
    <n v="131.5"/>
    <s v="Призёр"/>
    <x v="0"/>
    <x v="3"/>
    <n v="42.147435897435898"/>
    <n v="181"/>
    <n v="0"/>
  </r>
  <r>
    <n v="16"/>
    <n v="11"/>
    <n v="126"/>
    <s v="Призёр"/>
    <x v="0"/>
    <x v="3"/>
    <n v="40.384615384615387"/>
    <n v="181"/>
    <n v="0"/>
  </r>
  <r>
    <n v="17"/>
    <n v="11"/>
    <n v="121.8"/>
    <s v="Призёр"/>
    <x v="0"/>
    <x v="3"/>
    <n v="39.03846153846154"/>
    <n v="181"/>
    <n v="0"/>
  </r>
  <r>
    <n v="18"/>
    <n v="11"/>
    <n v="118"/>
    <s v="Участник"/>
    <x v="0"/>
    <x v="3"/>
    <n v="37.820512820512818"/>
    <n v="181"/>
    <n v="0"/>
  </r>
  <r>
    <n v="19"/>
    <n v="11"/>
    <n v="112.9"/>
    <s v="Участник"/>
    <x v="0"/>
    <x v="3"/>
    <n v="36.185897435897438"/>
    <n v="181"/>
    <n v="0"/>
  </r>
  <r>
    <n v="20"/>
    <n v="11"/>
    <n v="111.6"/>
    <s v="Участник"/>
    <x v="0"/>
    <x v="3"/>
    <n v="35.769230769230766"/>
    <n v="181"/>
    <n v="0"/>
  </r>
  <r>
    <n v="21"/>
    <n v="11"/>
    <n v="110.5"/>
    <s v="Участник"/>
    <x v="0"/>
    <x v="3"/>
    <n v="35.416666666666671"/>
    <n v="181"/>
    <n v="0"/>
  </r>
  <r>
    <n v="22"/>
    <n v="11"/>
    <n v="106"/>
    <s v="Участник"/>
    <x v="0"/>
    <x v="3"/>
    <n v="33.974358974358978"/>
    <n v="181"/>
    <n v="0"/>
  </r>
  <r>
    <n v="23"/>
    <n v="11"/>
    <n v="105.5"/>
    <s v="Участник"/>
    <x v="0"/>
    <x v="3"/>
    <n v="33.814102564102569"/>
    <n v="181"/>
    <n v="0"/>
  </r>
  <r>
    <n v="24"/>
    <n v="11"/>
    <n v="105.3"/>
    <s v="Участник"/>
    <x v="0"/>
    <x v="3"/>
    <n v="33.75"/>
    <n v="181"/>
    <n v="0"/>
  </r>
  <r>
    <n v="25"/>
    <n v="11"/>
    <n v="104.5"/>
    <s v="Участник"/>
    <x v="0"/>
    <x v="3"/>
    <n v="33.493589743589737"/>
    <n v="181"/>
    <n v="0"/>
  </r>
  <r>
    <n v="26"/>
    <n v="11"/>
    <n v="101.5"/>
    <s v="Участник"/>
    <x v="0"/>
    <x v="3"/>
    <n v="32.532051282051277"/>
    <n v="181"/>
    <n v="0"/>
  </r>
  <r>
    <n v="27"/>
    <n v="11"/>
    <n v="92"/>
    <s v="Участник"/>
    <x v="0"/>
    <x v="3"/>
    <n v="29.487179487179489"/>
    <n v="181"/>
    <n v="0"/>
  </r>
  <r>
    <n v="28"/>
    <n v="11"/>
    <n v="90.8"/>
    <s v="Участник"/>
    <x v="0"/>
    <x v="3"/>
    <n v="29.102564102564099"/>
    <n v="181"/>
    <n v="0"/>
  </r>
  <r>
    <n v="29"/>
    <n v="11"/>
    <n v="88.5"/>
    <s v="Участник"/>
    <x v="0"/>
    <x v="3"/>
    <n v="28.36538461538461"/>
    <n v="181"/>
    <n v="0"/>
  </r>
  <r>
    <n v="30"/>
    <n v="11"/>
    <n v="87.5"/>
    <s v="Участник"/>
    <x v="0"/>
    <x v="3"/>
    <n v="28.044871794871799"/>
    <n v="181"/>
    <n v="0"/>
  </r>
  <r>
    <n v="31"/>
    <n v="11"/>
    <n v="85.5"/>
    <s v="Участник"/>
    <x v="0"/>
    <x v="3"/>
    <n v="27.40384615384616"/>
    <n v="181"/>
    <n v="0"/>
  </r>
  <r>
    <n v="32"/>
    <n v="11"/>
    <n v="82"/>
    <s v="Участник"/>
    <x v="0"/>
    <x v="3"/>
    <n v="26.282051282051281"/>
    <n v="181"/>
    <n v="0"/>
  </r>
  <r>
    <n v="33"/>
    <n v="11"/>
    <n v="81.5"/>
    <s v="Участник"/>
    <x v="0"/>
    <x v="3"/>
    <n v="26.121794871794869"/>
    <n v="181"/>
    <n v="0"/>
  </r>
  <r>
    <n v="34"/>
    <n v="11"/>
    <n v="81"/>
    <s v="Участник"/>
    <x v="0"/>
    <x v="3"/>
    <n v="25.96153846153846"/>
    <n v="181"/>
    <n v="0"/>
  </r>
  <r>
    <n v="35"/>
    <n v="11"/>
    <n v="79.5"/>
    <s v="Участник"/>
    <x v="0"/>
    <x v="3"/>
    <n v="25.48076923076923"/>
    <n v="181"/>
    <n v="0"/>
  </r>
  <r>
    <n v="36"/>
    <n v="11"/>
    <n v="74.599999999999994"/>
    <s v="Участник"/>
    <x v="0"/>
    <x v="3"/>
    <n v="23.910256410256409"/>
    <n v="181"/>
    <n v="0"/>
  </r>
  <r>
    <n v="37"/>
    <n v="11"/>
    <n v="71"/>
    <s v="Участник"/>
    <x v="0"/>
    <x v="3"/>
    <n v="22.756410256410259"/>
    <n v="181"/>
    <n v="0"/>
  </r>
  <r>
    <n v="38"/>
    <n v="11"/>
    <n v="69.5"/>
    <s v="Участник"/>
    <x v="0"/>
    <x v="3"/>
    <n v="22.275641025641029"/>
    <n v="181"/>
    <n v="0"/>
  </r>
  <r>
    <n v="39"/>
    <n v="11"/>
    <n v="63.5"/>
    <s v="Участник"/>
    <x v="0"/>
    <x v="3"/>
    <n v="20.352564102564099"/>
    <n v="181"/>
    <n v="0"/>
  </r>
  <r>
    <n v="1"/>
    <n v="9"/>
    <n v="95"/>
    <s v="Победитель"/>
    <x v="1"/>
    <x v="0"/>
    <n v="95"/>
    <n v="90"/>
    <n v="1"/>
  </r>
  <r>
    <n v="2"/>
    <n v="9"/>
    <n v="89"/>
    <s v="Призер"/>
    <x v="1"/>
    <x v="0"/>
    <n v="89"/>
    <n v="90"/>
    <n v="0"/>
  </r>
  <r>
    <n v="3"/>
    <n v="9"/>
    <n v="88"/>
    <s v="Призер"/>
    <x v="1"/>
    <x v="0"/>
    <n v="88"/>
    <n v="90"/>
    <n v="0"/>
  </r>
  <r>
    <n v="4"/>
    <n v="9"/>
    <n v="87"/>
    <s v="Призер"/>
    <x v="1"/>
    <x v="0"/>
    <n v="87"/>
    <n v="90"/>
    <n v="0"/>
  </r>
  <r>
    <n v="5"/>
    <n v="9"/>
    <n v="85"/>
    <s v="Призер"/>
    <x v="1"/>
    <x v="0"/>
    <n v="85"/>
    <n v="90"/>
    <n v="0"/>
  </r>
  <r>
    <n v="6"/>
    <n v="9"/>
    <n v="83"/>
    <s v="Призер"/>
    <x v="1"/>
    <x v="0"/>
    <n v="83"/>
    <n v="90"/>
    <n v="0"/>
  </r>
  <r>
    <n v="7"/>
    <n v="9"/>
    <n v="83"/>
    <s v="Призер"/>
    <x v="1"/>
    <x v="0"/>
    <n v="83"/>
    <n v="90"/>
    <n v="0"/>
  </r>
  <r>
    <n v="8"/>
    <n v="9"/>
    <n v="76"/>
    <s v="Призер"/>
    <x v="1"/>
    <x v="0"/>
    <n v="76"/>
    <n v="90"/>
    <n v="0"/>
  </r>
  <r>
    <n v="9"/>
    <n v="9"/>
    <n v="75"/>
    <s v="Призер"/>
    <x v="1"/>
    <x v="0"/>
    <n v="75"/>
    <n v="90"/>
    <n v="0"/>
  </r>
  <r>
    <n v="10"/>
    <n v="9"/>
    <n v="73"/>
    <s v="Участник"/>
    <x v="1"/>
    <x v="0"/>
    <n v="73"/>
    <n v="90"/>
    <n v="0"/>
  </r>
  <r>
    <n v="11"/>
    <n v="9"/>
    <n v="70"/>
    <s v="Участник"/>
    <x v="1"/>
    <x v="0"/>
    <n v="70"/>
    <n v="90"/>
    <n v="0"/>
  </r>
  <r>
    <n v="12"/>
    <n v="9"/>
    <n v="68"/>
    <s v="Участник"/>
    <x v="1"/>
    <x v="0"/>
    <n v="68"/>
    <n v="90"/>
    <n v="0"/>
  </r>
  <r>
    <n v="13"/>
    <n v="9"/>
    <n v="67"/>
    <s v="Участник"/>
    <x v="1"/>
    <x v="0"/>
    <n v="67"/>
    <n v="90"/>
    <n v="0"/>
  </r>
  <r>
    <n v="14"/>
    <n v="9"/>
    <n v="62"/>
    <s v="Участник"/>
    <x v="1"/>
    <x v="0"/>
    <n v="62"/>
    <n v="90"/>
    <n v="0"/>
  </r>
  <r>
    <n v="15"/>
    <n v="9"/>
    <n v="58"/>
    <s v="Участник"/>
    <x v="1"/>
    <x v="0"/>
    <n v="57.999999999999993"/>
    <n v="90"/>
    <n v="0"/>
  </r>
  <r>
    <n v="16"/>
    <n v="9"/>
    <n v="57"/>
    <s v="Участник"/>
    <x v="1"/>
    <x v="0"/>
    <n v="56.999999999999993"/>
    <n v="90"/>
    <n v="0"/>
  </r>
  <r>
    <n v="17"/>
    <n v="9"/>
    <n v="55"/>
    <s v="Участник"/>
    <x v="1"/>
    <x v="0"/>
    <n v="55.000000000000007"/>
    <n v="90"/>
    <n v="0"/>
  </r>
  <r>
    <n v="18"/>
    <n v="9"/>
    <n v="54"/>
    <s v="Участник"/>
    <x v="1"/>
    <x v="0"/>
    <n v="54"/>
    <n v="90"/>
    <n v="0"/>
  </r>
  <r>
    <n v="19"/>
    <n v="9"/>
    <n v="54"/>
    <s v="Участник"/>
    <x v="1"/>
    <x v="0"/>
    <n v="54"/>
    <n v="90"/>
    <n v="0"/>
  </r>
  <r>
    <n v="20"/>
    <n v="9"/>
    <n v="52"/>
    <s v="Участник"/>
    <x v="1"/>
    <x v="0"/>
    <n v="52"/>
    <n v="90"/>
    <n v="0"/>
  </r>
  <r>
    <n v="21"/>
    <n v="9"/>
    <n v="52"/>
    <s v="Участник"/>
    <x v="1"/>
    <x v="0"/>
    <n v="52"/>
    <n v="90"/>
    <n v="0"/>
  </r>
  <r>
    <n v="22"/>
    <n v="9"/>
    <n v="52"/>
    <s v="Участник"/>
    <x v="1"/>
    <x v="0"/>
    <n v="52"/>
    <n v="90"/>
    <n v="0"/>
  </r>
  <r>
    <n v="23"/>
    <n v="9"/>
    <n v="49"/>
    <s v="Участник"/>
    <x v="1"/>
    <x v="0"/>
    <n v="49"/>
    <n v="90"/>
    <n v="0"/>
  </r>
  <r>
    <n v="24"/>
    <n v="9"/>
    <n v="49"/>
    <s v="Участник"/>
    <x v="1"/>
    <x v="0"/>
    <n v="49"/>
    <n v="90"/>
    <n v="0"/>
  </r>
  <r>
    <n v="25"/>
    <n v="9"/>
    <n v="48"/>
    <s v="Участник"/>
    <x v="1"/>
    <x v="0"/>
    <n v="48"/>
    <n v="90"/>
    <n v="0"/>
  </r>
  <r>
    <n v="26"/>
    <n v="9"/>
    <n v="47"/>
    <s v="Участник"/>
    <x v="1"/>
    <x v="0"/>
    <n v="47"/>
    <n v="90"/>
    <n v="0"/>
  </r>
  <r>
    <n v="27"/>
    <n v="9"/>
    <n v="46"/>
    <s v="Участник"/>
    <x v="1"/>
    <x v="0"/>
    <n v="46"/>
    <n v="90"/>
    <n v="0"/>
  </r>
  <r>
    <n v="28"/>
    <n v="9"/>
    <n v="43"/>
    <s v="Участник"/>
    <x v="1"/>
    <x v="0"/>
    <n v="43"/>
    <n v="90"/>
    <n v="0"/>
  </r>
  <r>
    <n v="29"/>
    <n v="9"/>
    <n v="40"/>
    <s v="Участник"/>
    <x v="1"/>
    <x v="0"/>
    <n v="40"/>
    <n v="90"/>
    <n v="0"/>
  </r>
  <r>
    <n v="30"/>
    <n v="9"/>
    <n v="37"/>
    <s v="Участник"/>
    <x v="1"/>
    <x v="0"/>
    <n v="37"/>
    <n v="90"/>
    <n v="0"/>
  </r>
  <r>
    <n v="31"/>
    <n v="9"/>
    <n v="28"/>
    <s v="Участник"/>
    <x v="1"/>
    <x v="0"/>
    <n v="28"/>
    <n v="90"/>
    <n v="0"/>
  </r>
  <r>
    <n v="1"/>
    <n v="10"/>
    <n v="99"/>
    <s v="Победитель"/>
    <x v="1"/>
    <x v="0"/>
    <n v="99"/>
    <n v="95"/>
    <n v="1"/>
  </r>
  <r>
    <n v="2"/>
    <n v="10"/>
    <n v="94"/>
    <s v="Победитель"/>
    <x v="1"/>
    <x v="0"/>
    <n v="94"/>
    <n v="95"/>
    <n v="0"/>
  </r>
  <r>
    <n v="3"/>
    <n v="10"/>
    <n v="90"/>
    <s v="Победитель"/>
    <x v="1"/>
    <x v="0"/>
    <n v="90"/>
    <n v="95"/>
    <n v="0"/>
  </r>
  <r>
    <n v="4"/>
    <n v="10"/>
    <n v="88"/>
    <s v="Призер"/>
    <x v="1"/>
    <x v="0"/>
    <n v="88"/>
    <n v="95"/>
    <n v="0"/>
  </r>
  <r>
    <n v="5"/>
    <n v="10"/>
    <n v="86"/>
    <s v="Призер"/>
    <x v="1"/>
    <x v="0"/>
    <n v="86"/>
    <n v="95"/>
    <n v="0"/>
  </r>
  <r>
    <n v="6"/>
    <n v="10"/>
    <n v="85"/>
    <s v="Призер"/>
    <x v="1"/>
    <x v="0"/>
    <n v="85"/>
    <n v="95"/>
    <n v="0"/>
  </r>
  <r>
    <n v="7"/>
    <n v="10"/>
    <n v="84"/>
    <s v="Призер"/>
    <x v="1"/>
    <x v="0"/>
    <n v="84"/>
    <n v="95"/>
    <n v="0"/>
  </r>
  <r>
    <n v="8"/>
    <n v="10"/>
    <n v="82"/>
    <s v="Призер"/>
    <x v="1"/>
    <x v="0"/>
    <n v="82"/>
    <n v="95"/>
    <n v="0"/>
  </r>
  <r>
    <n v="9"/>
    <n v="10"/>
    <n v="73"/>
    <s v="Участник"/>
    <x v="1"/>
    <x v="0"/>
    <n v="73"/>
    <n v="95"/>
    <n v="0"/>
  </r>
  <r>
    <n v="10"/>
    <n v="10"/>
    <n v="71"/>
    <s v="Участник"/>
    <x v="1"/>
    <x v="0"/>
    <n v="71"/>
    <n v="95"/>
    <n v="0"/>
  </r>
  <r>
    <n v="11"/>
    <n v="10"/>
    <n v="67"/>
    <s v="Участник"/>
    <x v="1"/>
    <x v="0"/>
    <n v="67"/>
    <n v="95"/>
    <n v="0"/>
  </r>
  <r>
    <n v="12"/>
    <n v="10"/>
    <n v="64"/>
    <s v="Участник"/>
    <x v="1"/>
    <x v="0"/>
    <n v="64"/>
    <n v="95"/>
    <n v="0"/>
  </r>
  <r>
    <n v="13"/>
    <n v="10"/>
    <n v="64"/>
    <s v="Участник"/>
    <x v="1"/>
    <x v="0"/>
    <n v="64"/>
    <n v="95"/>
    <n v="0"/>
  </r>
  <r>
    <n v="14"/>
    <n v="10"/>
    <n v="61"/>
    <s v="Участник"/>
    <x v="1"/>
    <x v="0"/>
    <n v="61"/>
    <n v="95"/>
    <n v="0"/>
  </r>
  <r>
    <n v="15"/>
    <n v="10"/>
    <n v="59"/>
    <s v="Участник"/>
    <x v="1"/>
    <x v="0"/>
    <n v="59"/>
    <n v="95"/>
    <n v="0"/>
  </r>
  <r>
    <n v="16"/>
    <n v="10"/>
    <n v="59"/>
    <s v="Участник"/>
    <x v="1"/>
    <x v="0"/>
    <n v="59"/>
    <n v="95"/>
    <n v="0"/>
  </r>
  <r>
    <n v="17"/>
    <n v="10"/>
    <n v="57"/>
    <s v="Участник"/>
    <x v="1"/>
    <x v="0"/>
    <n v="56.999999999999993"/>
    <n v="95"/>
    <n v="0"/>
  </r>
  <r>
    <n v="18"/>
    <n v="10"/>
    <n v="56"/>
    <s v="Участник"/>
    <x v="1"/>
    <x v="0"/>
    <n v="56.000000000000007"/>
    <n v="95"/>
    <n v="0"/>
  </r>
  <r>
    <n v="19"/>
    <n v="10"/>
    <n v="54"/>
    <s v="Участник"/>
    <x v="1"/>
    <x v="0"/>
    <n v="54"/>
    <n v="95"/>
    <n v="0"/>
  </r>
  <r>
    <n v="20"/>
    <n v="10"/>
    <n v="53"/>
    <s v="Участник"/>
    <x v="1"/>
    <x v="0"/>
    <n v="53"/>
    <n v="95"/>
    <n v="0"/>
  </r>
  <r>
    <n v="21"/>
    <n v="10"/>
    <n v="49"/>
    <s v="Участник"/>
    <x v="1"/>
    <x v="0"/>
    <n v="49"/>
    <n v="95"/>
    <n v="0"/>
  </r>
  <r>
    <n v="22"/>
    <n v="10"/>
    <n v="48"/>
    <s v="Участник"/>
    <x v="1"/>
    <x v="0"/>
    <n v="48"/>
    <n v="95"/>
    <n v="0"/>
  </r>
  <r>
    <n v="23"/>
    <n v="10"/>
    <n v="48"/>
    <s v="Участник"/>
    <x v="1"/>
    <x v="0"/>
    <n v="48"/>
    <n v="95"/>
    <n v="0"/>
  </r>
  <r>
    <n v="24"/>
    <n v="10"/>
    <n v="45"/>
    <s v="Участник"/>
    <x v="1"/>
    <x v="0"/>
    <n v="45"/>
    <n v="95"/>
    <n v="0"/>
  </r>
  <r>
    <n v="25"/>
    <n v="10"/>
    <n v="42"/>
    <s v="Участник"/>
    <x v="1"/>
    <x v="0"/>
    <n v="42"/>
    <n v="95"/>
    <n v="0"/>
  </r>
  <r>
    <n v="26"/>
    <n v="10"/>
    <n v="41"/>
    <s v="Участник"/>
    <x v="1"/>
    <x v="0"/>
    <n v="41"/>
    <n v="95"/>
    <n v="0"/>
  </r>
  <r>
    <n v="27"/>
    <n v="10"/>
    <n v="40"/>
    <s v="Участник"/>
    <x v="1"/>
    <x v="0"/>
    <n v="40"/>
    <n v="95"/>
    <n v="0"/>
  </r>
  <r>
    <n v="28"/>
    <n v="10"/>
    <n v="37"/>
    <s v="Участник"/>
    <x v="1"/>
    <x v="0"/>
    <n v="37"/>
    <n v="95"/>
    <n v="0"/>
  </r>
  <r>
    <n v="29"/>
    <n v="10"/>
    <n v="26"/>
    <s v="Участник"/>
    <x v="1"/>
    <x v="0"/>
    <n v="26"/>
    <n v="95"/>
    <n v="0"/>
  </r>
  <r>
    <n v="30"/>
    <n v="10"/>
    <n v="0"/>
    <s v="Участник"/>
    <x v="1"/>
    <x v="0"/>
    <n v="0"/>
    <n v="95"/>
    <n v="0"/>
  </r>
  <r>
    <n v="1"/>
    <n v="11"/>
    <n v="98"/>
    <s v="Победитель"/>
    <x v="1"/>
    <x v="0"/>
    <n v="98"/>
    <n v="97"/>
    <n v="1"/>
  </r>
  <r>
    <n v="2"/>
    <n v="11"/>
    <n v="96"/>
    <s v="Победитель"/>
    <x v="1"/>
    <x v="0"/>
    <n v="96"/>
    <n v="97"/>
    <n v="0"/>
  </r>
  <r>
    <n v="3"/>
    <n v="11"/>
    <n v="87"/>
    <s v="Призер"/>
    <x v="1"/>
    <x v="0"/>
    <n v="87"/>
    <n v="97"/>
    <n v="0"/>
  </r>
  <r>
    <n v="4"/>
    <n v="11"/>
    <n v="87"/>
    <s v="Призер"/>
    <x v="1"/>
    <x v="0"/>
    <n v="87"/>
    <n v="97"/>
    <n v="0"/>
  </r>
  <r>
    <n v="5"/>
    <n v="11"/>
    <n v="87"/>
    <s v="Призер"/>
    <x v="1"/>
    <x v="0"/>
    <n v="87"/>
    <n v="97"/>
    <n v="0"/>
  </r>
  <r>
    <n v="6"/>
    <n v="11"/>
    <n v="86"/>
    <s v="Призер"/>
    <x v="1"/>
    <x v="0"/>
    <n v="86"/>
    <n v="97"/>
    <n v="0"/>
  </r>
  <r>
    <n v="7"/>
    <n v="11"/>
    <n v="80"/>
    <s v="Призер"/>
    <x v="1"/>
    <x v="0"/>
    <n v="80"/>
    <n v="97"/>
    <n v="0"/>
  </r>
  <r>
    <n v="8"/>
    <n v="11"/>
    <n v="79"/>
    <s v="Призер"/>
    <x v="1"/>
    <x v="0"/>
    <n v="79"/>
    <n v="97"/>
    <n v="0"/>
  </r>
  <r>
    <n v="9"/>
    <n v="11"/>
    <n v="78"/>
    <s v="Призер"/>
    <x v="1"/>
    <x v="0"/>
    <n v="78"/>
    <n v="97"/>
    <n v="0"/>
  </r>
  <r>
    <n v="10"/>
    <n v="11"/>
    <n v="74"/>
    <s v="Призер"/>
    <x v="1"/>
    <x v="0"/>
    <n v="74"/>
    <n v="97"/>
    <n v="0"/>
  </r>
  <r>
    <n v="11"/>
    <n v="11"/>
    <n v="74"/>
    <s v="Призер"/>
    <x v="1"/>
    <x v="0"/>
    <n v="74"/>
    <n v="97"/>
    <n v="0"/>
  </r>
  <r>
    <n v="12"/>
    <n v="11"/>
    <n v="73"/>
    <s v="Участник"/>
    <x v="1"/>
    <x v="0"/>
    <n v="73"/>
    <n v="97"/>
    <n v="0"/>
  </r>
  <r>
    <n v="13"/>
    <n v="11"/>
    <n v="73"/>
    <s v="Участник"/>
    <x v="1"/>
    <x v="0"/>
    <n v="73"/>
    <n v="97"/>
    <n v="0"/>
  </r>
  <r>
    <n v="14"/>
    <n v="11"/>
    <n v="69"/>
    <s v="Участник"/>
    <x v="1"/>
    <x v="0"/>
    <n v="69"/>
    <n v="97"/>
    <n v="0"/>
  </r>
  <r>
    <n v="15"/>
    <n v="11"/>
    <n v="68"/>
    <s v="Участник"/>
    <x v="1"/>
    <x v="0"/>
    <n v="68"/>
    <n v="97"/>
    <n v="0"/>
  </r>
  <r>
    <n v="16"/>
    <n v="11"/>
    <n v="67"/>
    <s v="Участник"/>
    <x v="1"/>
    <x v="0"/>
    <n v="67"/>
    <n v="97"/>
    <n v="0"/>
  </r>
  <r>
    <n v="17"/>
    <n v="11"/>
    <n v="66"/>
    <s v="Участник"/>
    <x v="1"/>
    <x v="0"/>
    <n v="66"/>
    <n v="97"/>
    <n v="0"/>
  </r>
  <r>
    <n v="18"/>
    <n v="11"/>
    <n v="65"/>
    <s v="Участник"/>
    <x v="1"/>
    <x v="0"/>
    <n v="65"/>
    <n v="97"/>
    <n v="0"/>
  </r>
  <r>
    <n v="19"/>
    <n v="11"/>
    <n v="65"/>
    <s v="Участник"/>
    <x v="1"/>
    <x v="0"/>
    <n v="65"/>
    <n v="97"/>
    <n v="0"/>
  </r>
  <r>
    <n v="20"/>
    <n v="11"/>
    <n v="63"/>
    <s v="Участник"/>
    <x v="1"/>
    <x v="0"/>
    <n v="63"/>
    <n v="97"/>
    <n v="0"/>
  </r>
  <r>
    <n v="21"/>
    <n v="11"/>
    <n v="60"/>
    <s v="Участник"/>
    <x v="1"/>
    <x v="0"/>
    <n v="60"/>
    <n v="97"/>
    <n v="0"/>
  </r>
  <r>
    <n v="22"/>
    <n v="11"/>
    <n v="59"/>
    <s v="Участник"/>
    <x v="1"/>
    <x v="0"/>
    <n v="59"/>
    <n v="97"/>
    <n v="0"/>
  </r>
  <r>
    <n v="23"/>
    <n v="11"/>
    <n v="58"/>
    <s v="Участник"/>
    <x v="1"/>
    <x v="0"/>
    <n v="57.999999999999993"/>
    <n v="97"/>
    <n v="0"/>
  </r>
  <r>
    <n v="24"/>
    <n v="11"/>
    <n v="57"/>
    <s v="Участник"/>
    <x v="1"/>
    <x v="0"/>
    <n v="56.999999999999993"/>
    <n v="97"/>
    <n v="0"/>
  </r>
  <r>
    <n v="25"/>
    <n v="11"/>
    <n v="56"/>
    <s v="Участник"/>
    <x v="1"/>
    <x v="0"/>
    <n v="56.000000000000007"/>
    <n v="97"/>
    <n v="0"/>
  </r>
  <r>
    <n v="26"/>
    <n v="11"/>
    <n v="49"/>
    <s v="Участник"/>
    <x v="1"/>
    <x v="0"/>
    <n v="49"/>
    <n v="97"/>
    <n v="0"/>
  </r>
  <r>
    <n v="27"/>
    <n v="11"/>
    <n v="49"/>
    <s v="Участник"/>
    <x v="1"/>
    <x v="0"/>
    <n v="49"/>
    <n v="97"/>
    <n v="0"/>
  </r>
  <r>
    <n v="28"/>
    <n v="11"/>
    <n v="48"/>
    <s v="Участник"/>
    <x v="1"/>
    <x v="0"/>
    <n v="48"/>
    <n v="97"/>
    <n v="0"/>
  </r>
  <r>
    <n v="29"/>
    <n v="11"/>
    <n v="44"/>
    <s v="Участник"/>
    <x v="1"/>
    <x v="0"/>
    <n v="44"/>
    <n v="97"/>
    <n v="0"/>
  </r>
  <r>
    <n v="30"/>
    <n v="11"/>
    <n v="38"/>
    <s v="Участник"/>
    <x v="1"/>
    <x v="0"/>
    <n v="38"/>
    <n v="97"/>
    <n v="0"/>
  </r>
  <r>
    <n v="31"/>
    <n v="11"/>
    <n v="36"/>
    <s v="Участник"/>
    <x v="1"/>
    <x v="0"/>
    <n v="36"/>
    <n v="97"/>
    <n v="0"/>
  </r>
  <r>
    <n v="32"/>
    <n v="11"/>
    <n v="34"/>
    <s v="Участник"/>
    <x v="1"/>
    <x v="0"/>
    <n v="34"/>
    <n v="97"/>
    <n v="0"/>
  </r>
  <r>
    <n v="33"/>
    <n v="11"/>
    <n v="34"/>
    <s v="Участник"/>
    <x v="1"/>
    <x v="0"/>
    <n v="34"/>
    <n v="97"/>
    <n v="0"/>
  </r>
  <r>
    <n v="34"/>
    <n v="11"/>
    <n v="32"/>
    <s v="Участник"/>
    <x v="1"/>
    <x v="0"/>
    <n v="32"/>
    <n v="97"/>
    <n v="0"/>
  </r>
  <r>
    <n v="35"/>
    <n v="11"/>
    <n v="29"/>
    <s v="Участник"/>
    <x v="1"/>
    <x v="0"/>
    <n v="29"/>
    <n v="97"/>
    <n v="0"/>
  </r>
  <r>
    <n v="1"/>
    <n v="9"/>
    <n v="90"/>
    <s v="Победитель"/>
    <x v="1"/>
    <x v="1"/>
    <n v="90"/>
    <n v="93"/>
    <n v="0"/>
  </r>
  <r>
    <n v="2"/>
    <n v="9"/>
    <n v="85"/>
    <s v="Победитель"/>
    <x v="1"/>
    <x v="1"/>
    <n v="85"/>
    <n v="93"/>
    <n v="0"/>
  </r>
  <r>
    <n v="3"/>
    <n v="9"/>
    <n v="83"/>
    <s v="Победитель"/>
    <x v="1"/>
    <x v="1"/>
    <n v="83"/>
    <n v="93"/>
    <n v="0"/>
  </r>
  <r>
    <n v="4"/>
    <n v="9"/>
    <n v="78"/>
    <s v="Призер"/>
    <x v="1"/>
    <x v="1"/>
    <n v="78"/>
    <n v="93"/>
    <n v="0"/>
  </r>
  <r>
    <n v="5"/>
    <n v="9"/>
    <n v="77"/>
    <s v="Призер"/>
    <x v="1"/>
    <x v="1"/>
    <n v="77"/>
    <n v="93"/>
    <n v="0"/>
  </r>
  <r>
    <n v="6"/>
    <n v="9"/>
    <n v="72"/>
    <s v="Призер"/>
    <x v="1"/>
    <x v="1"/>
    <n v="72"/>
    <n v="93"/>
    <n v="0"/>
  </r>
  <r>
    <n v="7"/>
    <n v="9"/>
    <n v="68"/>
    <s v="Призер"/>
    <x v="1"/>
    <x v="1"/>
    <n v="68"/>
    <n v="93"/>
    <n v="0"/>
  </r>
  <r>
    <n v="8"/>
    <n v="9"/>
    <n v="66"/>
    <s v="Призер"/>
    <x v="1"/>
    <x v="1"/>
    <n v="66"/>
    <n v="93"/>
    <n v="0"/>
  </r>
  <r>
    <n v="9"/>
    <n v="9"/>
    <n v="66"/>
    <s v="Призер"/>
    <x v="1"/>
    <x v="1"/>
    <n v="66"/>
    <n v="93"/>
    <n v="0"/>
  </r>
  <r>
    <n v="10"/>
    <n v="9"/>
    <n v="66"/>
    <s v="Призер"/>
    <x v="1"/>
    <x v="1"/>
    <n v="66"/>
    <n v="93"/>
    <n v="0"/>
  </r>
  <r>
    <n v="11"/>
    <n v="9"/>
    <n v="65"/>
    <s v="Призер"/>
    <x v="1"/>
    <x v="1"/>
    <n v="65"/>
    <n v="93"/>
    <n v="0"/>
  </r>
  <r>
    <n v="12"/>
    <n v="9"/>
    <n v="64"/>
    <s v="Участник"/>
    <x v="1"/>
    <x v="1"/>
    <n v="64"/>
    <n v="93"/>
    <n v="0"/>
  </r>
  <r>
    <n v="13"/>
    <n v="9"/>
    <n v="63"/>
    <s v="Участник"/>
    <x v="1"/>
    <x v="1"/>
    <n v="63"/>
    <n v="93"/>
    <n v="0"/>
  </r>
  <r>
    <n v="14"/>
    <n v="9"/>
    <n v="61"/>
    <s v="Участник"/>
    <x v="1"/>
    <x v="1"/>
    <n v="61"/>
    <n v="93"/>
    <n v="0"/>
  </r>
  <r>
    <n v="15"/>
    <n v="9"/>
    <n v="60"/>
    <s v="Участник"/>
    <x v="1"/>
    <x v="1"/>
    <n v="60"/>
    <n v="93"/>
    <n v="0"/>
  </r>
  <r>
    <n v="16"/>
    <n v="9"/>
    <n v="57"/>
    <s v="Участник"/>
    <x v="1"/>
    <x v="1"/>
    <n v="56.999999999999993"/>
    <n v="93"/>
    <n v="0"/>
  </r>
  <r>
    <n v="17"/>
    <n v="9"/>
    <n v="57"/>
    <s v="Участник"/>
    <x v="1"/>
    <x v="1"/>
    <n v="56.999999999999993"/>
    <n v="93"/>
    <n v="0"/>
  </r>
  <r>
    <n v="18"/>
    <n v="9"/>
    <n v="57"/>
    <s v="Участник"/>
    <x v="1"/>
    <x v="1"/>
    <n v="56.999999999999993"/>
    <n v="93"/>
    <n v="0"/>
  </r>
  <r>
    <n v="19"/>
    <n v="9"/>
    <n v="56"/>
    <s v="Участник"/>
    <x v="1"/>
    <x v="1"/>
    <n v="56.000000000000007"/>
    <n v="93"/>
    <n v="0"/>
  </r>
  <r>
    <n v="20"/>
    <n v="9"/>
    <n v="56"/>
    <s v="Участник"/>
    <x v="1"/>
    <x v="1"/>
    <n v="56.000000000000007"/>
    <n v="93"/>
    <n v="0"/>
  </r>
  <r>
    <n v="21"/>
    <n v="9"/>
    <n v="55"/>
    <s v="Участник"/>
    <x v="1"/>
    <x v="1"/>
    <n v="55.000000000000007"/>
    <n v="93"/>
    <n v="0"/>
  </r>
  <r>
    <n v="22"/>
    <n v="9"/>
    <n v="54"/>
    <s v="Участник"/>
    <x v="1"/>
    <x v="1"/>
    <n v="54"/>
    <n v="93"/>
    <n v="0"/>
  </r>
  <r>
    <n v="23"/>
    <n v="9"/>
    <n v="53"/>
    <s v="Участник"/>
    <x v="1"/>
    <x v="1"/>
    <n v="53"/>
    <n v="93"/>
    <n v="0"/>
  </r>
  <r>
    <n v="24"/>
    <n v="9"/>
    <n v="52"/>
    <s v="Участник"/>
    <x v="1"/>
    <x v="1"/>
    <n v="52"/>
    <n v="93"/>
    <n v="0"/>
  </r>
  <r>
    <n v="25"/>
    <n v="9"/>
    <n v="51"/>
    <s v="Участник"/>
    <x v="1"/>
    <x v="1"/>
    <n v="51"/>
    <n v="93"/>
    <n v="0"/>
  </r>
  <r>
    <n v="26"/>
    <n v="9"/>
    <n v="48"/>
    <s v="Участник"/>
    <x v="1"/>
    <x v="1"/>
    <n v="48"/>
    <n v="93"/>
    <n v="0"/>
  </r>
  <r>
    <n v="27"/>
    <n v="9"/>
    <n v="47"/>
    <s v="Участник"/>
    <x v="1"/>
    <x v="1"/>
    <n v="47"/>
    <n v="93"/>
    <n v="0"/>
  </r>
  <r>
    <n v="28"/>
    <n v="9"/>
    <n v="42"/>
    <s v="Участник"/>
    <x v="1"/>
    <x v="1"/>
    <n v="42"/>
    <n v="93"/>
    <n v="0"/>
  </r>
  <r>
    <n v="29"/>
    <n v="9"/>
    <n v="42"/>
    <s v="Участник"/>
    <x v="1"/>
    <x v="1"/>
    <n v="42"/>
    <n v="93"/>
    <n v="0"/>
  </r>
  <r>
    <n v="30"/>
    <n v="9"/>
    <n v="41"/>
    <s v="Участник"/>
    <x v="1"/>
    <x v="1"/>
    <n v="41"/>
    <n v="93"/>
    <n v="0"/>
  </r>
  <r>
    <n v="31"/>
    <n v="9"/>
    <n v="32"/>
    <s v="Участник"/>
    <x v="1"/>
    <x v="1"/>
    <n v="32"/>
    <n v="93"/>
    <n v="0"/>
  </r>
  <r>
    <n v="1"/>
    <n v="10"/>
    <n v="96"/>
    <s v="Победитель"/>
    <x v="1"/>
    <x v="1"/>
    <n v="96"/>
    <n v="96"/>
    <n v="1"/>
  </r>
  <r>
    <n v="2"/>
    <n v="10"/>
    <n v="95"/>
    <s v="Победитель"/>
    <x v="1"/>
    <x v="1"/>
    <n v="95"/>
    <n v="96"/>
    <n v="0"/>
  </r>
  <r>
    <n v="3"/>
    <n v="10"/>
    <n v="90"/>
    <s v="Призер"/>
    <x v="1"/>
    <x v="1"/>
    <n v="90"/>
    <n v="96"/>
    <n v="0"/>
  </r>
  <r>
    <n v="4"/>
    <n v="10"/>
    <n v="87"/>
    <s v="Призер"/>
    <x v="1"/>
    <x v="1"/>
    <n v="87"/>
    <n v="96"/>
    <n v="0"/>
  </r>
  <r>
    <n v="5"/>
    <n v="10"/>
    <n v="86"/>
    <s v="Призер"/>
    <x v="1"/>
    <x v="1"/>
    <n v="86"/>
    <n v="96"/>
    <n v="0"/>
  </r>
  <r>
    <n v="6"/>
    <n v="10"/>
    <n v="85"/>
    <s v="Призер"/>
    <x v="1"/>
    <x v="1"/>
    <n v="85"/>
    <n v="96"/>
    <n v="0"/>
  </r>
  <r>
    <n v="7"/>
    <n v="10"/>
    <n v="80"/>
    <s v="Призер"/>
    <x v="1"/>
    <x v="1"/>
    <n v="80"/>
    <n v="96"/>
    <n v="0"/>
  </r>
  <r>
    <n v="8"/>
    <n v="10"/>
    <n v="76"/>
    <s v="Призер"/>
    <x v="1"/>
    <x v="1"/>
    <n v="76"/>
    <n v="96"/>
    <n v="0"/>
  </r>
  <r>
    <n v="9"/>
    <n v="10"/>
    <n v="76"/>
    <s v="Призер"/>
    <x v="1"/>
    <x v="1"/>
    <n v="76"/>
    <n v="96"/>
    <n v="0"/>
  </r>
  <r>
    <n v="10"/>
    <n v="10"/>
    <n v="75"/>
    <s v="Призер"/>
    <x v="1"/>
    <x v="1"/>
    <n v="75"/>
    <n v="96"/>
    <n v="0"/>
  </r>
  <r>
    <n v="11"/>
    <n v="10"/>
    <n v="73"/>
    <s v="Призер"/>
    <x v="1"/>
    <x v="1"/>
    <n v="73"/>
    <n v="96"/>
    <n v="0"/>
  </r>
  <r>
    <n v="12"/>
    <n v="10"/>
    <n v="69"/>
    <s v="Призер"/>
    <x v="1"/>
    <x v="1"/>
    <n v="69"/>
    <n v="96"/>
    <n v="0"/>
  </r>
  <r>
    <n v="13"/>
    <n v="10"/>
    <n v="69"/>
    <s v="Призер"/>
    <x v="1"/>
    <x v="1"/>
    <n v="69"/>
    <n v="96"/>
    <n v="0"/>
  </r>
  <r>
    <n v="14"/>
    <n v="10"/>
    <n v="67"/>
    <s v="Призер"/>
    <x v="1"/>
    <x v="1"/>
    <n v="67"/>
    <n v="96"/>
    <n v="0"/>
  </r>
  <r>
    <n v="15"/>
    <n v="10"/>
    <n v="66"/>
    <s v="Участник"/>
    <x v="1"/>
    <x v="1"/>
    <n v="66"/>
    <n v="96"/>
    <n v="0"/>
  </r>
  <r>
    <n v="16"/>
    <n v="10"/>
    <n v="65"/>
    <s v="Участник"/>
    <x v="1"/>
    <x v="1"/>
    <n v="65"/>
    <n v="96"/>
    <n v="0"/>
  </r>
  <r>
    <n v="17"/>
    <n v="10"/>
    <n v="64"/>
    <s v="Участник"/>
    <x v="1"/>
    <x v="1"/>
    <n v="64"/>
    <n v="96"/>
    <n v="0"/>
  </r>
  <r>
    <n v="18"/>
    <n v="10"/>
    <n v="64"/>
    <s v="Участник"/>
    <x v="1"/>
    <x v="1"/>
    <n v="64"/>
    <n v="96"/>
    <n v="0"/>
  </r>
  <r>
    <n v="19"/>
    <n v="10"/>
    <n v="64"/>
    <s v="Участник"/>
    <x v="1"/>
    <x v="1"/>
    <n v="64"/>
    <n v="96"/>
    <n v="0"/>
  </r>
  <r>
    <n v="20"/>
    <n v="10"/>
    <n v="59"/>
    <s v="Участник"/>
    <x v="1"/>
    <x v="1"/>
    <n v="59"/>
    <n v="96"/>
    <n v="0"/>
  </r>
  <r>
    <n v="21"/>
    <n v="10"/>
    <n v="58"/>
    <s v="Участник"/>
    <x v="1"/>
    <x v="1"/>
    <n v="57.999999999999993"/>
    <n v="96"/>
    <n v="0"/>
  </r>
  <r>
    <n v="22"/>
    <n v="10"/>
    <n v="57"/>
    <s v="Участник"/>
    <x v="1"/>
    <x v="1"/>
    <n v="56.999999999999993"/>
    <n v="96"/>
    <n v="0"/>
  </r>
  <r>
    <n v="23"/>
    <n v="10"/>
    <n v="54"/>
    <s v="Участник"/>
    <x v="1"/>
    <x v="1"/>
    <n v="54"/>
    <n v="96"/>
    <n v="0"/>
  </r>
  <r>
    <n v="24"/>
    <n v="10"/>
    <n v="53"/>
    <s v="Участник"/>
    <x v="1"/>
    <x v="1"/>
    <n v="53"/>
    <n v="96"/>
    <n v="0"/>
  </r>
  <r>
    <n v="25"/>
    <n v="10"/>
    <n v="52"/>
    <s v="Участник"/>
    <x v="1"/>
    <x v="1"/>
    <n v="52"/>
    <n v="96"/>
    <n v="0"/>
  </r>
  <r>
    <n v="26"/>
    <n v="10"/>
    <n v="51"/>
    <s v="Участник"/>
    <x v="1"/>
    <x v="1"/>
    <n v="51"/>
    <n v="96"/>
    <n v="0"/>
  </r>
  <r>
    <n v="27"/>
    <n v="10"/>
    <n v="51"/>
    <s v="Участник"/>
    <x v="1"/>
    <x v="1"/>
    <n v="51"/>
    <n v="96"/>
    <n v="0"/>
  </r>
  <r>
    <n v="28"/>
    <n v="10"/>
    <n v="47"/>
    <s v="Участник"/>
    <x v="1"/>
    <x v="1"/>
    <n v="47"/>
    <n v="96"/>
    <n v="0"/>
  </r>
  <r>
    <n v="29"/>
    <n v="10"/>
    <n v="47"/>
    <s v="Участник"/>
    <x v="1"/>
    <x v="1"/>
    <n v="47"/>
    <n v="96"/>
    <n v="0"/>
  </r>
  <r>
    <n v="30"/>
    <n v="10"/>
    <n v="47"/>
    <s v="Участник"/>
    <x v="1"/>
    <x v="1"/>
    <n v="47"/>
    <n v="96"/>
    <n v="0"/>
  </r>
  <r>
    <n v="31"/>
    <n v="10"/>
    <n v="41"/>
    <s v="Участник"/>
    <x v="1"/>
    <x v="1"/>
    <n v="41"/>
    <n v="96"/>
    <n v="0"/>
  </r>
  <r>
    <n v="32"/>
    <n v="10"/>
    <n v="41"/>
    <s v="Участник"/>
    <x v="1"/>
    <x v="1"/>
    <n v="41"/>
    <n v="96"/>
    <n v="0"/>
  </r>
  <r>
    <n v="33"/>
    <n v="10"/>
    <n v="41"/>
    <s v="Участник"/>
    <x v="1"/>
    <x v="1"/>
    <n v="41"/>
    <n v="96"/>
    <n v="0"/>
  </r>
  <r>
    <n v="34"/>
    <n v="10"/>
    <n v="41"/>
    <s v="Участник"/>
    <x v="1"/>
    <x v="1"/>
    <n v="41"/>
    <n v="96"/>
    <n v="0"/>
  </r>
  <r>
    <n v="35"/>
    <n v="10"/>
    <n v="37"/>
    <s v="Участник"/>
    <x v="1"/>
    <x v="1"/>
    <n v="37"/>
    <n v="96"/>
    <n v="0"/>
  </r>
  <r>
    <n v="1"/>
    <n v="11"/>
    <n v="90"/>
    <s v="Победитель"/>
    <x v="1"/>
    <x v="1"/>
    <n v="90"/>
    <n v="95"/>
    <n v="0"/>
  </r>
  <r>
    <n v="2"/>
    <n v="11"/>
    <n v="87"/>
    <s v="Победитель"/>
    <x v="1"/>
    <x v="1"/>
    <n v="87"/>
    <n v="95"/>
    <n v="0"/>
  </r>
  <r>
    <n v="3"/>
    <n v="11"/>
    <n v="76"/>
    <s v="Призер"/>
    <x v="1"/>
    <x v="1"/>
    <n v="76"/>
    <n v="95"/>
    <n v="0"/>
  </r>
  <r>
    <n v="4"/>
    <n v="11"/>
    <n v="73"/>
    <s v="Призер"/>
    <x v="1"/>
    <x v="1"/>
    <n v="73"/>
    <n v="95"/>
    <n v="0"/>
  </r>
  <r>
    <n v="5"/>
    <n v="11"/>
    <n v="72"/>
    <s v="Призер"/>
    <x v="1"/>
    <x v="1"/>
    <n v="72"/>
    <n v="95"/>
    <n v="0"/>
  </r>
  <r>
    <n v="6"/>
    <n v="11"/>
    <n v="71"/>
    <s v="Призер"/>
    <x v="1"/>
    <x v="1"/>
    <n v="71"/>
    <n v="95"/>
    <n v="0"/>
  </r>
  <r>
    <n v="7"/>
    <n v="11"/>
    <n v="69"/>
    <s v="Призер"/>
    <x v="1"/>
    <x v="1"/>
    <n v="69"/>
    <n v="95"/>
    <n v="0"/>
  </r>
  <r>
    <n v="8"/>
    <n v="11"/>
    <n v="68"/>
    <s v="Призер"/>
    <x v="1"/>
    <x v="1"/>
    <n v="68"/>
    <n v="95"/>
    <n v="0"/>
  </r>
  <r>
    <n v="9"/>
    <n v="11"/>
    <n v="61"/>
    <s v="Призер"/>
    <x v="1"/>
    <x v="1"/>
    <n v="61"/>
    <n v="95"/>
    <n v="0"/>
  </r>
  <r>
    <n v="10"/>
    <n v="11"/>
    <n v="58"/>
    <s v="Участник"/>
    <x v="1"/>
    <x v="1"/>
    <n v="57.999999999999993"/>
    <n v="95"/>
    <n v="0"/>
  </r>
  <r>
    <n v="11"/>
    <n v="11"/>
    <n v="58"/>
    <s v="Участник"/>
    <x v="1"/>
    <x v="1"/>
    <n v="57.999999999999993"/>
    <n v="95"/>
    <n v="0"/>
  </r>
  <r>
    <n v="12"/>
    <n v="11"/>
    <n v="56"/>
    <s v="Участник"/>
    <x v="1"/>
    <x v="1"/>
    <n v="56.000000000000007"/>
    <n v="95"/>
    <n v="0"/>
  </r>
  <r>
    <n v="13"/>
    <n v="11"/>
    <n v="54"/>
    <s v="Участник"/>
    <x v="1"/>
    <x v="1"/>
    <n v="54"/>
    <n v="95"/>
    <n v="0"/>
  </r>
  <r>
    <n v="14"/>
    <n v="11"/>
    <n v="53"/>
    <s v="Участник"/>
    <x v="1"/>
    <x v="1"/>
    <n v="53"/>
    <n v="95"/>
    <n v="0"/>
  </r>
  <r>
    <n v="15"/>
    <n v="11"/>
    <n v="51"/>
    <s v="Участник"/>
    <x v="1"/>
    <x v="1"/>
    <n v="51"/>
    <n v="95"/>
    <n v="0"/>
  </r>
  <r>
    <n v="16"/>
    <n v="11"/>
    <n v="50"/>
    <s v="Участник"/>
    <x v="1"/>
    <x v="1"/>
    <n v="50"/>
    <n v="95"/>
    <n v="0"/>
  </r>
  <r>
    <n v="17"/>
    <n v="11"/>
    <n v="50"/>
    <s v="Участник"/>
    <x v="1"/>
    <x v="1"/>
    <n v="50"/>
    <n v="95"/>
    <n v="0"/>
  </r>
  <r>
    <n v="18"/>
    <n v="11"/>
    <n v="48"/>
    <s v="Участник"/>
    <x v="1"/>
    <x v="1"/>
    <n v="48"/>
    <n v="95"/>
    <n v="0"/>
  </r>
  <r>
    <n v="19"/>
    <n v="11"/>
    <n v="46"/>
    <s v="Участник"/>
    <x v="1"/>
    <x v="1"/>
    <n v="46"/>
    <n v="95"/>
    <n v="0"/>
  </r>
  <r>
    <n v="20"/>
    <n v="11"/>
    <n v="44"/>
    <s v="Участник"/>
    <x v="1"/>
    <x v="1"/>
    <n v="44"/>
    <n v="95"/>
    <n v="0"/>
  </r>
  <r>
    <n v="21"/>
    <n v="11"/>
    <n v="43"/>
    <s v="Участник"/>
    <x v="1"/>
    <x v="1"/>
    <n v="43"/>
    <n v="95"/>
    <n v="0"/>
  </r>
  <r>
    <n v="22"/>
    <n v="11"/>
    <n v="43"/>
    <s v="Участник"/>
    <x v="1"/>
    <x v="1"/>
    <n v="43"/>
    <n v="95"/>
    <n v="0"/>
  </r>
  <r>
    <n v="23"/>
    <n v="11"/>
    <n v="43"/>
    <s v="Участник"/>
    <x v="1"/>
    <x v="1"/>
    <n v="43"/>
    <n v="95"/>
    <n v="0"/>
  </r>
  <r>
    <n v="24"/>
    <n v="11"/>
    <n v="42"/>
    <s v="Участник"/>
    <x v="1"/>
    <x v="1"/>
    <n v="42"/>
    <n v="95"/>
    <n v="0"/>
  </r>
  <r>
    <n v="25"/>
    <n v="11"/>
    <n v="41"/>
    <s v="Участник"/>
    <x v="1"/>
    <x v="1"/>
    <n v="41"/>
    <n v="95"/>
    <n v="0"/>
  </r>
  <r>
    <n v="26"/>
    <n v="11"/>
    <n v="38"/>
    <s v="Участник"/>
    <x v="1"/>
    <x v="1"/>
    <n v="38"/>
    <n v="95"/>
    <n v="0"/>
  </r>
  <r>
    <n v="27"/>
    <n v="11"/>
    <n v="36"/>
    <s v="Участник"/>
    <x v="1"/>
    <x v="1"/>
    <n v="36"/>
    <n v="95"/>
    <n v="0"/>
  </r>
  <r>
    <n v="28"/>
    <n v="11"/>
    <n v="28"/>
    <s v="Участник"/>
    <x v="1"/>
    <x v="1"/>
    <n v="28"/>
    <n v="95"/>
    <n v="0"/>
  </r>
  <r>
    <n v="29"/>
    <n v="11"/>
    <n v="23"/>
    <s v="Участник"/>
    <x v="1"/>
    <x v="1"/>
    <n v="23"/>
    <n v="95"/>
    <n v="0"/>
  </r>
  <r>
    <n v="30"/>
    <n v="11"/>
    <n v="16"/>
    <s v="Участник"/>
    <x v="1"/>
    <x v="1"/>
    <n v="16"/>
    <n v="95"/>
    <n v="0"/>
  </r>
  <r>
    <n v="1"/>
    <n v="9"/>
    <n v="92"/>
    <s v="Победитель"/>
    <x v="1"/>
    <x v="2"/>
    <n v="92"/>
    <n v="94"/>
    <n v="0"/>
  </r>
  <r>
    <n v="2"/>
    <n v="9"/>
    <n v="88"/>
    <s v="Победитель"/>
    <x v="1"/>
    <x v="2"/>
    <n v="88"/>
    <n v="94"/>
    <n v="0"/>
  </r>
  <r>
    <n v="3"/>
    <n v="9"/>
    <n v="79"/>
    <s v="Победитель"/>
    <x v="1"/>
    <x v="2"/>
    <n v="79"/>
    <n v="94"/>
    <n v="0"/>
  </r>
  <r>
    <n v="4"/>
    <n v="9"/>
    <n v="68"/>
    <s v="Призёр"/>
    <x v="1"/>
    <x v="2"/>
    <n v="68"/>
    <n v="94"/>
    <n v="0"/>
  </r>
  <r>
    <n v="5"/>
    <n v="9"/>
    <n v="65"/>
    <s v="Призёр"/>
    <x v="1"/>
    <x v="2"/>
    <n v="65"/>
    <n v="94"/>
    <n v="0"/>
  </r>
  <r>
    <n v="6"/>
    <n v="9"/>
    <n v="64"/>
    <s v="Призёр"/>
    <x v="1"/>
    <x v="2"/>
    <n v="64"/>
    <n v="94"/>
    <n v="0"/>
  </r>
  <r>
    <n v="7"/>
    <n v="9"/>
    <n v="63"/>
    <s v="Призёр"/>
    <x v="1"/>
    <x v="2"/>
    <n v="63"/>
    <n v="94"/>
    <n v="0"/>
  </r>
  <r>
    <n v="8"/>
    <n v="9"/>
    <n v="59"/>
    <s v="Призёр"/>
    <x v="1"/>
    <x v="2"/>
    <n v="59"/>
    <n v="94"/>
    <n v="0"/>
  </r>
  <r>
    <n v="9"/>
    <n v="9"/>
    <n v="58"/>
    <s v="Призёр"/>
    <x v="1"/>
    <x v="2"/>
    <n v="57.999999999999993"/>
    <n v="94"/>
    <n v="0"/>
  </r>
  <r>
    <n v="10"/>
    <n v="9"/>
    <n v="57"/>
    <s v="Призёр"/>
    <x v="1"/>
    <x v="2"/>
    <n v="56.999999999999993"/>
    <n v="94"/>
    <n v="0"/>
  </r>
  <r>
    <n v="11"/>
    <n v="9"/>
    <n v="53"/>
    <s v="Участник"/>
    <x v="1"/>
    <x v="2"/>
    <n v="53"/>
    <n v="94"/>
    <n v="0"/>
  </r>
  <r>
    <n v="12"/>
    <n v="9"/>
    <n v="53"/>
    <s v="Участник"/>
    <x v="1"/>
    <x v="2"/>
    <n v="53"/>
    <n v="94"/>
    <n v="0"/>
  </r>
  <r>
    <n v="13"/>
    <n v="9"/>
    <n v="53"/>
    <s v="Участник"/>
    <x v="1"/>
    <x v="2"/>
    <n v="53"/>
    <n v="94"/>
    <n v="0"/>
  </r>
  <r>
    <n v="14"/>
    <n v="9"/>
    <n v="51"/>
    <s v="Участник"/>
    <x v="1"/>
    <x v="2"/>
    <n v="51"/>
    <n v="94"/>
    <n v="0"/>
  </r>
  <r>
    <n v="15"/>
    <n v="9"/>
    <n v="51"/>
    <s v="Участник"/>
    <x v="1"/>
    <x v="2"/>
    <n v="51"/>
    <n v="94"/>
    <n v="0"/>
  </r>
  <r>
    <n v="16"/>
    <n v="9"/>
    <n v="48"/>
    <s v="Участник"/>
    <x v="1"/>
    <x v="2"/>
    <n v="48"/>
    <n v="94"/>
    <n v="0"/>
  </r>
  <r>
    <n v="17"/>
    <n v="9"/>
    <n v="47"/>
    <s v="Участник"/>
    <x v="1"/>
    <x v="2"/>
    <n v="47"/>
    <n v="94"/>
    <n v="0"/>
  </r>
  <r>
    <n v="18"/>
    <n v="9"/>
    <n v="45"/>
    <s v="Участник"/>
    <x v="1"/>
    <x v="2"/>
    <n v="45"/>
    <n v="94"/>
    <n v="0"/>
  </r>
  <r>
    <n v="19"/>
    <n v="9"/>
    <n v="44"/>
    <s v="Участник"/>
    <x v="1"/>
    <x v="2"/>
    <n v="44"/>
    <n v="94"/>
    <n v="0"/>
  </r>
  <r>
    <n v="20"/>
    <n v="9"/>
    <n v="44"/>
    <s v="Участник"/>
    <x v="1"/>
    <x v="2"/>
    <n v="44"/>
    <n v="94"/>
    <n v="0"/>
  </r>
  <r>
    <n v="21"/>
    <n v="9"/>
    <n v="44"/>
    <s v="Участник"/>
    <x v="1"/>
    <x v="2"/>
    <n v="44"/>
    <n v="94"/>
    <n v="0"/>
  </r>
  <r>
    <n v="22"/>
    <n v="9"/>
    <n v="40"/>
    <s v="Участник"/>
    <x v="1"/>
    <x v="2"/>
    <n v="40"/>
    <n v="94"/>
    <n v="0"/>
  </r>
  <r>
    <n v="23"/>
    <n v="9"/>
    <n v="40"/>
    <s v="Участник"/>
    <x v="1"/>
    <x v="2"/>
    <n v="40"/>
    <n v="94"/>
    <n v="0"/>
  </r>
  <r>
    <n v="24"/>
    <n v="9"/>
    <n v="40"/>
    <s v="Участник"/>
    <x v="1"/>
    <x v="2"/>
    <n v="40"/>
    <n v="94"/>
    <n v="0"/>
  </r>
  <r>
    <n v="25"/>
    <n v="9"/>
    <n v="38"/>
    <s v="Участник"/>
    <x v="1"/>
    <x v="2"/>
    <n v="38"/>
    <n v="94"/>
    <n v="0"/>
  </r>
  <r>
    <n v="26"/>
    <n v="9"/>
    <n v="37"/>
    <s v="Участник"/>
    <x v="1"/>
    <x v="2"/>
    <n v="37"/>
    <n v="94"/>
    <n v="0"/>
  </r>
  <r>
    <n v="27"/>
    <n v="9"/>
    <n v="36"/>
    <s v="Участник"/>
    <x v="1"/>
    <x v="2"/>
    <n v="36"/>
    <n v="94"/>
    <n v="0"/>
  </r>
  <r>
    <n v="28"/>
    <n v="9"/>
    <n v="35"/>
    <s v="Участник"/>
    <x v="1"/>
    <x v="2"/>
    <n v="35"/>
    <n v="94"/>
    <n v="0"/>
  </r>
  <r>
    <n v="29"/>
    <n v="9"/>
    <n v="27"/>
    <s v="Участник"/>
    <x v="1"/>
    <x v="2"/>
    <n v="27"/>
    <n v="94"/>
    <n v="0"/>
  </r>
  <r>
    <n v="30"/>
    <n v="9"/>
    <n v="16"/>
    <s v="Участник"/>
    <x v="1"/>
    <x v="2"/>
    <n v="16"/>
    <n v="94"/>
    <n v="0"/>
  </r>
  <r>
    <n v="1"/>
    <n v="10"/>
    <n v="88"/>
    <s v="Победитель"/>
    <x v="1"/>
    <x v="2"/>
    <n v="88"/>
    <n v="97"/>
    <n v="0"/>
  </r>
  <r>
    <n v="2"/>
    <n v="10"/>
    <n v="74"/>
    <s v="Призёр"/>
    <x v="1"/>
    <x v="2"/>
    <n v="74"/>
    <n v="97"/>
    <n v="0"/>
  </r>
  <r>
    <n v="3"/>
    <n v="10"/>
    <n v="70"/>
    <s v="Призёр"/>
    <x v="1"/>
    <x v="2"/>
    <n v="70"/>
    <n v="97"/>
    <n v="0"/>
  </r>
  <r>
    <n v="4"/>
    <n v="10"/>
    <n v="68"/>
    <s v="Призёр"/>
    <x v="1"/>
    <x v="2"/>
    <n v="68"/>
    <n v="97"/>
    <n v="0"/>
  </r>
  <r>
    <n v="5"/>
    <n v="10"/>
    <n v="67"/>
    <s v="Призёр"/>
    <x v="1"/>
    <x v="2"/>
    <n v="67"/>
    <n v="97"/>
    <n v="0"/>
  </r>
  <r>
    <n v="6"/>
    <n v="10"/>
    <n v="66"/>
    <s v="Призёр"/>
    <x v="1"/>
    <x v="2"/>
    <n v="66"/>
    <n v="97"/>
    <n v="0"/>
  </r>
  <r>
    <n v="7"/>
    <n v="10"/>
    <n v="66"/>
    <s v="Призёр"/>
    <x v="1"/>
    <x v="2"/>
    <n v="66"/>
    <n v="97"/>
    <n v="0"/>
  </r>
  <r>
    <n v="8"/>
    <n v="10"/>
    <n v="65"/>
    <s v="Призёр"/>
    <x v="1"/>
    <x v="2"/>
    <n v="65"/>
    <n v="97"/>
    <n v="0"/>
  </r>
  <r>
    <n v="9"/>
    <n v="10"/>
    <n v="65"/>
    <s v="Призёр"/>
    <x v="1"/>
    <x v="2"/>
    <n v="65"/>
    <n v="97"/>
    <n v="0"/>
  </r>
  <r>
    <n v="10"/>
    <n v="10"/>
    <n v="65"/>
    <s v="Призёр"/>
    <x v="1"/>
    <x v="2"/>
    <n v="65"/>
    <n v="97"/>
    <n v="0"/>
  </r>
  <r>
    <n v="11"/>
    <n v="10"/>
    <n v="64"/>
    <s v="Призёр"/>
    <x v="1"/>
    <x v="2"/>
    <n v="64"/>
    <n v="97"/>
    <n v="0"/>
  </r>
  <r>
    <n v="12"/>
    <n v="10"/>
    <n v="62"/>
    <s v="Призёр"/>
    <x v="1"/>
    <x v="2"/>
    <n v="62"/>
    <n v="97"/>
    <n v="0"/>
  </r>
  <r>
    <n v="13"/>
    <n v="10"/>
    <n v="62"/>
    <s v="Призёр"/>
    <x v="1"/>
    <x v="2"/>
    <n v="62"/>
    <n v="97"/>
    <n v="0"/>
  </r>
  <r>
    <n v="14"/>
    <n v="10"/>
    <n v="61"/>
    <s v="Участник"/>
    <x v="1"/>
    <x v="2"/>
    <n v="61"/>
    <n v="97"/>
    <n v="0"/>
  </r>
  <r>
    <n v="15"/>
    <n v="10"/>
    <n v="61"/>
    <s v="Участник"/>
    <x v="1"/>
    <x v="2"/>
    <n v="61"/>
    <n v="97"/>
    <n v="0"/>
  </r>
  <r>
    <n v="16"/>
    <n v="10"/>
    <n v="57"/>
    <s v="Участник"/>
    <x v="1"/>
    <x v="2"/>
    <n v="56.999999999999993"/>
    <n v="97"/>
    <n v="0"/>
  </r>
  <r>
    <n v="17"/>
    <n v="10"/>
    <n v="57"/>
    <s v="Участник"/>
    <x v="1"/>
    <x v="2"/>
    <n v="56.999999999999993"/>
    <n v="97"/>
    <n v="0"/>
  </r>
  <r>
    <n v="18"/>
    <n v="10"/>
    <n v="57"/>
    <s v="Участник"/>
    <x v="1"/>
    <x v="2"/>
    <n v="56.999999999999993"/>
    <n v="97"/>
    <n v="0"/>
  </r>
  <r>
    <n v="19"/>
    <n v="10"/>
    <n v="57"/>
    <s v="Участник"/>
    <x v="1"/>
    <x v="2"/>
    <n v="56.999999999999993"/>
    <n v="97"/>
    <n v="0"/>
  </r>
  <r>
    <n v="20"/>
    <n v="10"/>
    <n v="57"/>
    <s v="Участник"/>
    <x v="1"/>
    <x v="2"/>
    <n v="56.999999999999993"/>
    <n v="97"/>
    <n v="0"/>
  </r>
  <r>
    <n v="21"/>
    <n v="10"/>
    <n v="55"/>
    <s v="Участник"/>
    <x v="1"/>
    <x v="2"/>
    <n v="55.000000000000007"/>
    <n v="97"/>
    <n v="0"/>
  </r>
  <r>
    <n v="22"/>
    <n v="10"/>
    <n v="54"/>
    <s v="Участник"/>
    <x v="1"/>
    <x v="2"/>
    <n v="54"/>
    <n v="97"/>
    <n v="0"/>
  </r>
  <r>
    <n v="23"/>
    <n v="10"/>
    <n v="52"/>
    <s v="Участник"/>
    <x v="1"/>
    <x v="2"/>
    <n v="52"/>
    <n v="97"/>
    <n v="0"/>
  </r>
  <r>
    <n v="24"/>
    <n v="10"/>
    <n v="50"/>
    <s v="Участник"/>
    <x v="1"/>
    <x v="2"/>
    <n v="50"/>
    <n v="97"/>
    <n v="0"/>
  </r>
  <r>
    <n v="25"/>
    <n v="10"/>
    <n v="43"/>
    <s v="Участник"/>
    <x v="1"/>
    <x v="2"/>
    <n v="43"/>
    <n v="97"/>
    <n v="0"/>
  </r>
  <r>
    <n v="26"/>
    <n v="10"/>
    <n v="41"/>
    <s v="Участник"/>
    <x v="1"/>
    <x v="2"/>
    <n v="41"/>
    <n v="97"/>
    <n v="0"/>
  </r>
  <r>
    <n v="27"/>
    <n v="10"/>
    <n v="41"/>
    <s v="Участник"/>
    <x v="1"/>
    <x v="2"/>
    <n v="41"/>
    <n v="97"/>
    <n v="0"/>
  </r>
  <r>
    <n v="28"/>
    <n v="10"/>
    <n v="40"/>
    <s v="Участник"/>
    <x v="1"/>
    <x v="2"/>
    <n v="40"/>
    <n v="97"/>
    <n v="0"/>
  </r>
  <r>
    <n v="29"/>
    <n v="10"/>
    <n v="38"/>
    <s v="Участник"/>
    <x v="1"/>
    <x v="2"/>
    <n v="38"/>
    <n v="97"/>
    <n v="0"/>
  </r>
  <r>
    <n v="30"/>
    <n v="10"/>
    <n v="36"/>
    <s v="Участник"/>
    <x v="1"/>
    <x v="2"/>
    <n v="36"/>
    <n v="97"/>
    <n v="0"/>
  </r>
  <r>
    <n v="31"/>
    <n v="10"/>
    <n v="28"/>
    <s v="Участник"/>
    <x v="1"/>
    <x v="2"/>
    <n v="28"/>
    <n v="97"/>
    <n v="0"/>
  </r>
  <r>
    <n v="32"/>
    <n v="10"/>
    <n v="28"/>
    <s v="Участник"/>
    <x v="1"/>
    <x v="2"/>
    <n v="28"/>
    <n v="97"/>
    <n v="0"/>
  </r>
  <r>
    <n v="33"/>
    <n v="10"/>
    <n v="27"/>
    <s v="Участник"/>
    <x v="1"/>
    <x v="2"/>
    <n v="27"/>
    <n v="97"/>
    <n v="0"/>
  </r>
  <r>
    <n v="34"/>
    <n v="10"/>
    <n v="27"/>
    <s v="Участник"/>
    <x v="1"/>
    <x v="2"/>
    <n v="27"/>
    <n v="97"/>
    <n v="0"/>
  </r>
  <r>
    <n v="35"/>
    <n v="10"/>
    <n v="26"/>
    <s v="Участник"/>
    <x v="1"/>
    <x v="2"/>
    <n v="26"/>
    <n v="97"/>
    <n v="0"/>
  </r>
  <r>
    <n v="36"/>
    <n v="10"/>
    <n v="13"/>
    <s v="Участник"/>
    <x v="1"/>
    <x v="2"/>
    <n v="13"/>
    <n v="97"/>
    <n v="0"/>
  </r>
  <r>
    <n v="1"/>
    <n v="11"/>
    <n v="96"/>
    <s v="Победитель"/>
    <x v="1"/>
    <x v="2"/>
    <n v="96"/>
    <n v="97"/>
    <n v="0"/>
  </r>
  <r>
    <n v="2"/>
    <n v="11"/>
    <n v="87"/>
    <s v="Победитель"/>
    <x v="1"/>
    <x v="2"/>
    <n v="87"/>
    <n v="97"/>
    <n v="0"/>
  </r>
  <r>
    <n v="3"/>
    <n v="11"/>
    <n v="86"/>
    <s v="Победитель"/>
    <x v="1"/>
    <x v="2"/>
    <n v="86"/>
    <n v="97"/>
    <n v="0"/>
  </r>
  <r>
    <n v="4"/>
    <n v="11"/>
    <n v="85"/>
    <s v="Победитель"/>
    <x v="1"/>
    <x v="2"/>
    <n v="85"/>
    <n v="97"/>
    <n v="0"/>
  </r>
  <r>
    <n v="5"/>
    <n v="11"/>
    <n v="83"/>
    <s v="Победитель"/>
    <x v="1"/>
    <x v="2"/>
    <n v="83"/>
    <n v="97"/>
    <n v="0"/>
  </r>
  <r>
    <n v="6"/>
    <n v="11"/>
    <n v="77"/>
    <s v="Призёр"/>
    <x v="1"/>
    <x v="2"/>
    <n v="77"/>
    <n v="97"/>
    <n v="0"/>
  </r>
  <r>
    <n v="7"/>
    <n v="11"/>
    <n v="75"/>
    <s v="Призёр"/>
    <x v="1"/>
    <x v="2"/>
    <n v="75"/>
    <n v="97"/>
    <n v="0"/>
  </r>
  <r>
    <n v="8"/>
    <n v="11"/>
    <n v="73"/>
    <s v="Призёр"/>
    <x v="1"/>
    <x v="2"/>
    <n v="73"/>
    <n v="97"/>
    <n v="0"/>
  </r>
  <r>
    <n v="9"/>
    <n v="11"/>
    <n v="73"/>
    <s v="Призёр"/>
    <x v="1"/>
    <x v="2"/>
    <n v="73"/>
    <n v="97"/>
    <n v="0"/>
  </r>
  <r>
    <n v="10"/>
    <n v="11"/>
    <n v="72"/>
    <s v="Призёр"/>
    <x v="1"/>
    <x v="2"/>
    <n v="72"/>
    <n v="97"/>
    <n v="0"/>
  </r>
  <r>
    <n v="11"/>
    <n v="11"/>
    <n v="71"/>
    <s v="Призёр"/>
    <x v="1"/>
    <x v="2"/>
    <n v="71"/>
    <n v="97"/>
    <n v="0"/>
  </r>
  <r>
    <n v="12"/>
    <n v="11"/>
    <n v="70"/>
    <s v="Призёр"/>
    <x v="1"/>
    <x v="2"/>
    <n v="70"/>
    <n v="97"/>
    <n v="0"/>
  </r>
  <r>
    <n v="13"/>
    <n v="11"/>
    <n v="67"/>
    <s v="Призёр"/>
    <x v="1"/>
    <x v="2"/>
    <n v="67"/>
    <n v="97"/>
    <n v="0"/>
  </r>
  <r>
    <n v="14"/>
    <n v="11"/>
    <n v="66"/>
    <s v="Призёр"/>
    <x v="1"/>
    <x v="2"/>
    <n v="66"/>
    <n v="97"/>
    <n v="0"/>
  </r>
  <r>
    <n v="15"/>
    <n v="11"/>
    <n v="62"/>
    <s v="Призёр"/>
    <x v="1"/>
    <x v="2"/>
    <n v="62"/>
    <n v="97"/>
    <n v="0"/>
  </r>
  <r>
    <n v="16"/>
    <n v="11"/>
    <n v="61"/>
    <s v="Участник"/>
    <x v="1"/>
    <x v="2"/>
    <n v="61"/>
    <n v="97"/>
    <n v="0"/>
  </r>
  <r>
    <n v="17"/>
    <n v="11"/>
    <n v="61"/>
    <s v="Участник"/>
    <x v="1"/>
    <x v="2"/>
    <n v="61"/>
    <n v="97"/>
    <n v="0"/>
  </r>
  <r>
    <n v="18"/>
    <n v="11"/>
    <n v="61"/>
    <s v="Участник"/>
    <x v="1"/>
    <x v="2"/>
    <n v="61"/>
    <n v="97"/>
    <n v="0"/>
  </r>
  <r>
    <n v="19"/>
    <n v="11"/>
    <n v="55"/>
    <s v="Участник"/>
    <x v="1"/>
    <x v="2"/>
    <n v="55.000000000000007"/>
    <n v="97"/>
    <n v="0"/>
  </r>
  <r>
    <n v="20"/>
    <n v="11"/>
    <n v="53"/>
    <s v="Участник"/>
    <x v="1"/>
    <x v="2"/>
    <n v="53"/>
    <n v="97"/>
    <n v="0"/>
  </r>
  <r>
    <n v="21"/>
    <n v="11"/>
    <n v="52"/>
    <s v="Участник"/>
    <x v="1"/>
    <x v="2"/>
    <n v="52"/>
    <n v="97"/>
    <n v="0"/>
  </r>
  <r>
    <n v="22"/>
    <n v="11"/>
    <n v="51"/>
    <s v="Участник"/>
    <x v="1"/>
    <x v="2"/>
    <n v="51"/>
    <n v="97"/>
    <n v="0"/>
  </r>
  <r>
    <n v="23"/>
    <n v="11"/>
    <n v="50"/>
    <s v="Участник"/>
    <x v="1"/>
    <x v="2"/>
    <n v="50"/>
    <n v="97"/>
    <n v="0"/>
  </r>
  <r>
    <n v="24"/>
    <n v="11"/>
    <n v="49"/>
    <s v="Участник"/>
    <x v="1"/>
    <x v="2"/>
    <n v="49"/>
    <n v="97"/>
    <n v="0"/>
  </r>
  <r>
    <n v="25"/>
    <n v="11"/>
    <n v="49"/>
    <s v="Участник"/>
    <x v="1"/>
    <x v="2"/>
    <n v="49"/>
    <n v="97"/>
    <n v="0"/>
  </r>
  <r>
    <n v="26"/>
    <n v="11"/>
    <n v="48"/>
    <s v="Участник"/>
    <x v="1"/>
    <x v="2"/>
    <n v="48"/>
    <n v="97"/>
    <n v="0"/>
  </r>
  <r>
    <n v="27"/>
    <n v="11"/>
    <n v="42"/>
    <s v="Участник"/>
    <x v="1"/>
    <x v="2"/>
    <n v="42"/>
    <n v="97"/>
    <n v="0"/>
  </r>
  <r>
    <n v="28"/>
    <n v="11"/>
    <n v="41"/>
    <s v="Участник"/>
    <x v="1"/>
    <x v="2"/>
    <n v="41"/>
    <n v="97"/>
    <n v="0"/>
  </r>
  <r>
    <n v="29"/>
    <n v="11"/>
    <n v="40"/>
    <s v="Участник"/>
    <x v="1"/>
    <x v="2"/>
    <n v="40"/>
    <n v="97"/>
    <n v="0"/>
  </r>
  <r>
    <n v="30"/>
    <n v="11"/>
    <n v="40"/>
    <s v="Участник"/>
    <x v="1"/>
    <x v="2"/>
    <n v="40"/>
    <n v="97"/>
    <n v="0"/>
  </r>
  <r>
    <n v="31"/>
    <n v="11"/>
    <n v="38"/>
    <s v="Участник"/>
    <x v="1"/>
    <x v="2"/>
    <n v="38"/>
    <n v="97"/>
    <n v="0"/>
  </r>
  <r>
    <n v="32"/>
    <n v="11"/>
    <n v="33"/>
    <s v="Участник"/>
    <x v="1"/>
    <x v="2"/>
    <n v="33"/>
    <n v="97"/>
    <n v="0"/>
  </r>
  <r>
    <n v="33"/>
    <n v="11"/>
    <n v="31"/>
    <s v="Участник"/>
    <x v="1"/>
    <x v="2"/>
    <n v="31"/>
    <n v="97"/>
    <n v="0"/>
  </r>
  <r>
    <n v="34"/>
    <n v="11"/>
    <n v="30"/>
    <s v="Участник"/>
    <x v="1"/>
    <x v="2"/>
    <n v="30"/>
    <n v="97"/>
    <n v="0"/>
  </r>
  <r>
    <n v="35"/>
    <n v="11"/>
    <n v="28"/>
    <s v="Участник"/>
    <x v="1"/>
    <x v="2"/>
    <n v="28"/>
    <n v="97"/>
    <n v="0"/>
  </r>
  <r>
    <n v="36"/>
    <n v="11"/>
    <n v="27"/>
    <s v="Участник"/>
    <x v="1"/>
    <x v="2"/>
    <n v="27"/>
    <n v="97"/>
    <n v="0"/>
  </r>
  <r>
    <n v="37"/>
    <n v="11"/>
    <n v="24"/>
    <s v="Участник"/>
    <x v="1"/>
    <x v="2"/>
    <n v="24"/>
    <n v="97"/>
    <n v="0"/>
  </r>
  <r>
    <n v="38"/>
    <n v="11"/>
    <n v="22"/>
    <s v="Участник"/>
    <x v="1"/>
    <x v="2"/>
    <n v="22"/>
    <n v="97"/>
    <n v="0"/>
  </r>
  <r>
    <n v="39"/>
    <n v="11"/>
    <n v="19"/>
    <s v="Участник"/>
    <x v="1"/>
    <x v="2"/>
    <n v="19"/>
    <n v="97"/>
    <n v="0"/>
  </r>
  <r>
    <n v="40"/>
    <n v="11"/>
    <n v="17"/>
    <s v="Участник"/>
    <x v="1"/>
    <x v="2"/>
    <n v="17"/>
    <n v="97"/>
    <n v="0"/>
  </r>
  <r>
    <n v="41"/>
    <n v="11"/>
    <n v="17"/>
    <s v="Участник"/>
    <x v="1"/>
    <x v="2"/>
    <n v="17"/>
    <n v="97"/>
    <n v="0"/>
  </r>
  <r>
    <n v="42"/>
    <n v="11"/>
    <n v="16"/>
    <s v="Участник"/>
    <x v="1"/>
    <x v="2"/>
    <n v="16"/>
    <n v="97"/>
    <n v="0"/>
  </r>
  <r>
    <n v="43"/>
    <n v="11"/>
    <n v="14"/>
    <s v="Участник"/>
    <x v="1"/>
    <x v="2"/>
    <n v="14"/>
    <n v="97"/>
    <n v="0"/>
  </r>
  <r>
    <n v="1"/>
    <n v="9"/>
    <n v="92.57"/>
    <s v="Победитель"/>
    <x v="1"/>
    <x v="3"/>
    <n v="92.57"/>
    <n v="91.89"/>
    <n v="1"/>
  </r>
  <r>
    <n v="2"/>
    <n v="9"/>
    <n v="79.73"/>
    <s v="Победитель"/>
    <x v="1"/>
    <x v="3"/>
    <n v="79.73"/>
    <n v="91.89"/>
    <n v="0"/>
  </r>
  <r>
    <n v="3"/>
    <n v="9"/>
    <n v="78.38"/>
    <s v="Победитель"/>
    <x v="1"/>
    <x v="3"/>
    <n v="78.38"/>
    <n v="91.89"/>
    <n v="0"/>
  </r>
  <r>
    <n v="4"/>
    <n v="9"/>
    <n v="77.03"/>
    <s v="Призёр"/>
    <x v="1"/>
    <x v="3"/>
    <n v="77.03"/>
    <n v="91.89"/>
    <n v="0"/>
  </r>
  <r>
    <n v="5"/>
    <n v="9"/>
    <n v="76.349999999999994"/>
    <s v="Призёр"/>
    <x v="1"/>
    <x v="3"/>
    <n v="76.349999999999994"/>
    <n v="91.89"/>
    <n v="0"/>
  </r>
  <r>
    <n v="6"/>
    <n v="9"/>
    <n v="75.680000000000007"/>
    <s v="Призёр"/>
    <x v="1"/>
    <x v="3"/>
    <n v="75.680000000000007"/>
    <n v="91.89"/>
    <n v="0"/>
  </r>
  <r>
    <n v="7"/>
    <n v="9"/>
    <n v="72.97"/>
    <s v="Призёр"/>
    <x v="1"/>
    <x v="3"/>
    <n v="72.97"/>
    <n v="91.89"/>
    <n v="0"/>
  </r>
  <r>
    <n v="8"/>
    <n v="9"/>
    <n v="70.27"/>
    <s v="Призёр"/>
    <x v="1"/>
    <x v="3"/>
    <n v="70.27"/>
    <n v="91.89"/>
    <n v="0"/>
  </r>
  <r>
    <n v="9"/>
    <n v="9"/>
    <n v="70.27"/>
    <s v="Призёр"/>
    <x v="1"/>
    <x v="3"/>
    <n v="70.27"/>
    <n v="91.89"/>
    <n v="0"/>
  </r>
  <r>
    <n v="10"/>
    <n v="9"/>
    <n v="68.92"/>
    <s v="Призёр"/>
    <x v="1"/>
    <x v="3"/>
    <n v="68.92"/>
    <n v="91.89"/>
    <n v="0"/>
  </r>
  <r>
    <n v="11"/>
    <n v="9"/>
    <n v="68.239999999999995"/>
    <s v="Призёр"/>
    <x v="1"/>
    <x v="3"/>
    <n v="68.239999999999995"/>
    <n v="91.89"/>
    <n v="0"/>
  </r>
  <r>
    <n v="12"/>
    <n v="9"/>
    <n v="67.569999999999993"/>
    <s v="Призёр"/>
    <x v="1"/>
    <x v="3"/>
    <n v="67.569999999999993"/>
    <n v="91.89"/>
    <n v="0"/>
  </r>
  <r>
    <n v="13"/>
    <n v="9"/>
    <n v="66.22"/>
    <s v="Призёр"/>
    <x v="1"/>
    <x v="3"/>
    <n v="66.22"/>
    <n v="91.89"/>
    <n v="0"/>
  </r>
  <r>
    <n v="14"/>
    <n v="9"/>
    <n v="66.22"/>
    <s v="Призёр"/>
    <x v="1"/>
    <x v="3"/>
    <n v="66.22"/>
    <n v="91.89"/>
    <n v="0"/>
  </r>
  <r>
    <n v="15"/>
    <n v="9"/>
    <n v="63.51"/>
    <s v="Участник"/>
    <x v="1"/>
    <x v="3"/>
    <n v="63.51"/>
    <n v="91.89"/>
    <n v="0"/>
  </r>
  <r>
    <n v="16"/>
    <n v="9"/>
    <n v="63.51"/>
    <s v="Участник"/>
    <x v="1"/>
    <x v="3"/>
    <n v="63.51"/>
    <n v="91.89"/>
    <n v="0"/>
  </r>
  <r>
    <n v="17"/>
    <n v="9"/>
    <n v="60.81"/>
    <s v="Участник"/>
    <x v="1"/>
    <x v="3"/>
    <n v="60.81"/>
    <n v="91.89"/>
    <n v="0"/>
  </r>
  <r>
    <n v="18"/>
    <n v="9"/>
    <n v="59.46"/>
    <s v="Участник"/>
    <x v="1"/>
    <x v="3"/>
    <n v="59.46"/>
    <n v="91.89"/>
    <n v="0"/>
  </r>
  <r>
    <n v="19"/>
    <n v="9"/>
    <n v="59.46"/>
    <s v="Участник"/>
    <x v="1"/>
    <x v="3"/>
    <n v="59.46"/>
    <n v="91.89"/>
    <n v="0"/>
  </r>
  <r>
    <n v="20"/>
    <n v="9"/>
    <n v="56.76"/>
    <s v="Участник"/>
    <x v="1"/>
    <x v="3"/>
    <n v="56.76"/>
    <n v="91.89"/>
    <n v="0"/>
  </r>
  <r>
    <n v="21"/>
    <n v="9"/>
    <n v="56.08"/>
    <s v="Участник"/>
    <x v="1"/>
    <x v="3"/>
    <n v="56.08"/>
    <n v="91.89"/>
    <n v="0"/>
  </r>
  <r>
    <n v="22"/>
    <n v="9"/>
    <n v="54.05"/>
    <s v="Участник"/>
    <x v="1"/>
    <x v="3"/>
    <n v="54.05"/>
    <n v="91.89"/>
    <n v="0"/>
  </r>
  <r>
    <n v="23"/>
    <n v="9"/>
    <n v="52.03"/>
    <s v="Участник"/>
    <x v="1"/>
    <x v="3"/>
    <n v="52.03"/>
    <n v="91.89"/>
    <n v="0"/>
  </r>
  <r>
    <n v="24"/>
    <n v="9"/>
    <n v="50"/>
    <s v="Участник"/>
    <x v="1"/>
    <x v="3"/>
    <n v="50"/>
    <n v="91.89"/>
    <n v="0"/>
  </r>
  <r>
    <n v="25"/>
    <n v="9"/>
    <n v="45.95"/>
    <s v="Участник"/>
    <x v="1"/>
    <x v="3"/>
    <n v="45.95"/>
    <n v="91.89"/>
    <n v="0"/>
  </r>
  <r>
    <n v="26"/>
    <n v="9"/>
    <n v="45.95"/>
    <s v="Участник"/>
    <x v="1"/>
    <x v="3"/>
    <n v="45.95"/>
    <n v="91.89"/>
    <n v="0"/>
  </r>
  <r>
    <n v="27"/>
    <n v="9"/>
    <n v="41.89"/>
    <s v="Участник"/>
    <x v="1"/>
    <x v="3"/>
    <n v="41.89"/>
    <n v="91.89"/>
    <n v="0"/>
  </r>
  <r>
    <n v="28"/>
    <n v="9"/>
    <n v="41.89"/>
    <s v="Участник"/>
    <x v="1"/>
    <x v="3"/>
    <n v="41.89"/>
    <n v="91.89"/>
    <n v="0"/>
  </r>
  <r>
    <n v="29"/>
    <n v="9"/>
    <n v="41.89"/>
    <s v="Участник"/>
    <x v="1"/>
    <x v="3"/>
    <n v="41.89"/>
    <n v="91.89"/>
    <n v="0"/>
  </r>
  <r>
    <n v="30"/>
    <n v="9"/>
    <n v="41.89"/>
    <s v="Участник"/>
    <x v="1"/>
    <x v="3"/>
    <n v="41.89"/>
    <n v="91.89"/>
    <n v="0"/>
  </r>
  <r>
    <n v="31"/>
    <n v="9"/>
    <n v="35.14"/>
    <s v="Участник"/>
    <x v="1"/>
    <x v="3"/>
    <n v="35.14"/>
    <n v="91.89"/>
    <n v="0"/>
  </r>
  <r>
    <n v="32"/>
    <n v="9"/>
    <n v="14.86"/>
    <s v="Участник"/>
    <x v="1"/>
    <x v="3"/>
    <n v="14.86"/>
    <n v="91.89"/>
    <n v="0"/>
  </r>
  <r>
    <n v="1"/>
    <n v="10"/>
    <n v="94.59"/>
    <s v="Победитель"/>
    <x v="1"/>
    <x v="3"/>
    <n v="94.59"/>
    <n v="91.89"/>
    <n v="1"/>
  </r>
  <r>
    <n v="2"/>
    <n v="10"/>
    <n v="89.56"/>
    <s v="Победитель"/>
    <x v="1"/>
    <x v="3"/>
    <n v="89.56"/>
    <n v="91.89"/>
    <n v="0"/>
  </r>
  <r>
    <n v="3"/>
    <n v="10"/>
    <n v="85.14"/>
    <s v="Победитель"/>
    <x v="1"/>
    <x v="3"/>
    <n v="85.14"/>
    <n v="91.89"/>
    <n v="0"/>
  </r>
  <r>
    <n v="4"/>
    <n v="10"/>
    <n v="78.38"/>
    <s v="Победитель"/>
    <x v="1"/>
    <x v="3"/>
    <n v="78.38"/>
    <n v="91.89"/>
    <n v="0"/>
  </r>
  <r>
    <n v="5"/>
    <n v="10"/>
    <n v="61.49"/>
    <s v="Призёр"/>
    <x v="1"/>
    <x v="3"/>
    <n v="61.49"/>
    <n v="91.89"/>
    <n v="0"/>
  </r>
  <r>
    <n v="6"/>
    <n v="10"/>
    <n v="54.05"/>
    <s v="Призёр"/>
    <x v="1"/>
    <x v="3"/>
    <n v="54.05"/>
    <n v="91.89"/>
    <n v="0"/>
  </r>
  <r>
    <n v="7"/>
    <n v="10"/>
    <n v="52.7"/>
    <s v="Призёр"/>
    <x v="1"/>
    <x v="3"/>
    <n v="52.7"/>
    <n v="91.89"/>
    <n v="0"/>
  </r>
  <r>
    <n v="8"/>
    <n v="10"/>
    <n v="52.7"/>
    <s v="Призёр"/>
    <x v="1"/>
    <x v="3"/>
    <n v="52.7"/>
    <n v="91.89"/>
    <n v="0"/>
  </r>
  <r>
    <n v="9"/>
    <n v="10"/>
    <n v="50"/>
    <s v="Призёр"/>
    <x v="1"/>
    <x v="3"/>
    <n v="50"/>
    <n v="91.89"/>
    <n v="0"/>
  </r>
  <r>
    <n v="10"/>
    <n v="10"/>
    <n v="50"/>
    <s v="Призёр"/>
    <x v="1"/>
    <x v="3"/>
    <n v="50"/>
    <n v="91.89"/>
    <n v="0"/>
  </r>
  <r>
    <n v="11"/>
    <n v="10"/>
    <n v="50"/>
    <s v="Призёр"/>
    <x v="1"/>
    <x v="3"/>
    <n v="50"/>
    <n v="91.89"/>
    <n v="0"/>
  </r>
  <r>
    <n v="12"/>
    <n v="10"/>
    <n v="47.3"/>
    <s v="Призёр"/>
    <x v="1"/>
    <x v="3"/>
    <n v="47.3"/>
    <n v="91.89"/>
    <n v="0"/>
  </r>
  <r>
    <n v="13"/>
    <n v="10"/>
    <n v="47.3"/>
    <s v="Призёр"/>
    <x v="1"/>
    <x v="3"/>
    <n v="47.3"/>
    <n v="91.89"/>
    <n v="0"/>
  </r>
  <r>
    <n v="14"/>
    <n v="10"/>
    <n v="46.62"/>
    <s v="Призёр"/>
    <x v="1"/>
    <x v="3"/>
    <n v="46.62"/>
    <n v="91.89"/>
    <n v="0"/>
  </r>
  <r>
    <n v="15"/>
    <n v="10"/>
    <n v="44.59"/>
    <s v="Призёр"/>
    <x v="1"/>
    <x v="3"/>
    <n v="44.59"/>
    <n v="91.89"/>
    <n v="0"/>
  </r>
  <r>
    <n v="16"/>
    <n v="10"/>
    <n v="44.59"/>
    <s v="Призёр"/>
    <x v="1"/>
    <x v="3"/>
    <n v="44.59"/>
    <n v="91.89"/>
    <n v="0"/>
  </r>
  <r>
    <n v="17"/>
    <n v="10"/>
    <n v="43.24"/>
    <s v="Призёр"/>
    <x v="1"/>
    <x v="3"/>
    <n v="43.24"/>
    <n v="91.89"/>
    <n v="0"/>
  </r>
  <r>
    <n v="18"/>
    <n v="10"/>
    <n v="43.24"/>
    <s v="Призёр"/>
    <x v="1"/>
    <x v="3"/>
    <n v="43.24"/>
    <n v="91.89"/>
    <n v="0"/>
  </r>
  <r>
    <n v="19"/>
    <n v="10"/>
    <n v="41.89"/>
    <s v="Участник"/>
    <x v="1"/>
    <x v="3"/>
    <n v="41.89"/>
    <n v="91.89"/>
    <n v="0"/>
  </r>
  <r>
    <n v="20"/>
    <n v="10"/>
    <n v="39.86"/>
    <s v="Участник"/>
    <x v="1"/>
    <x v="3"/>
    <n v="39.86"/>
    <n v="91.89"/>
    <n v="0"/>
  </r>
  <r>
    <n v="21"/>
    <n v="10"/>
    <n v="39.19"/>
    <s v="Участник"/>
    <x v="1"/>
    <x v="3"/>
    <n v="39.19"/>
    <n v="91.89"/>
    <n v="0"/>
  </r>
  <r>
    <n v="22"/>
    <n v="10"/>
    <n v="37.159999999999997"/>
    <s v="Участник"/>
    <x v="1"/>
    <x v="3"/>
    <n v="37.159999999999997"/>
    <n v="91.89"/>
    <n v="0"/>
  </r>
  <r>
    <n v="23"/>
    <n v="10"/>
    <n v="36.49"/>
    <s v="Участник"/>
    <x v="1"/>
    <x v="3"/>
    <n v="36.49"/>
    <n v="91.89"/>
    <n v="0"/>
  </r>
  <r>
    <n v="24"/>
    <n v="10"/>
    <n v="36.49"/>
    <s v="Участник"/>
    <x v="1"/>
    <x v="3"/>
    <n v="36.49"/>
    <n v="91.89"/>
    <n v="0"/>
  </r>
  <r>
    <n v="25"/>
    <n v="10"/>
    <n v="35.14"/>
    <s v="Участник"/>
    <x v="1"/>
    <x v="3"/>
    <n v="35.14"/>
    <n v="91.89"/>
    <n v="0"/>
  </r>
  <r>
    <n v="26"/>
    <n v="10"/>
    <n v="33.78"/>
    <s v="Участник"/>
    <x v="1"/>
    <x v="3"/>
    <n v="33.78"/>
    <n v="91.89"/>
    <n v="0"/>
  </r>
  <r>
    <n v="27"/>
    <n v="10"/>
    <n v="32.43"/>
    <s v="Участник"/>
    <x v="1"/>
    <x v="3"/>
    <n v="32.43"/>
    <n v="91.89"/>
    <n v="0"/>
  </r>
  <r>
    <n v="28"/>
    <n v="10"/>
    <n v="32.43"/>
    <s v="Участник"/>
    <x v="1"/>
    <x v="3"/>
    <n v="32.43"/>
    <n v="91.89"/>
    <n v="0"/>
  </r>
  <r>
    <n v="29"/>
    <n v="10"/>
    <n v="29.73"/>
    <s v="Участник"/>
    <x v="1"/>
    <x v="3"/>
    <n v="29.73"/>
    <n v="91.89"/>
    <n v="0"/>
  </r>
  <r>
    <n v="30"/>
    <n v="10"/>
    <n v="29.73"/>
    <s v="Участник"/>
    <x v="1"/>
    <x v="3"/>
    <n v="29.73"/>
    <n v="91.89"/>
    <n v="0"/>
  </r>
  <r>
    <n v="31"/>
    <n v="10"/>
    <n v="27.03"/>
    <s v="Участник"/>
    <x v="1"/>
    <x v="3"/>
    <n v="27.03"/>
    <n v="91.89"/>
    <n v="0"/>
  </r>
  <r>
    <n v="32"/>
    <n v="10"/>
    <n v="25.68"/>
    <s v="Участник"/>
    <x v="1"/>
    <x v="3"/>
    <n v="25.68"/>
    <n v="91.89"/>
    <n v="0"/>
  </r>
  <r>
    <n v="33"/>
    <n v="10"/>
    <n v="25.68"/>
    <s v="Участник"/>
    <x v="1"/>
    <x v="3"/>
    <n v="25.68"/>
    <n v="91.89"/>
    <n v="0"/>
  </r>
  <r>
    <n v="34"/>
    <n v="10"/>
    <n v="24.32"/>
    <s v="Участник"/>
    <x v="1"/>
    <x v="3"/>
    <n v="24.32"/>
    <n v="91.89"/>
    <n v="0"/>
  </r>
  <r>
    <n v="35"/>
    <n v="10"/>
    <n v="22.97"/>
    <s v="Участник"/>
    <x v="1"/>
    <x v="3"/>
    <n v="22.97"/>
    <n v="91.89"/>
    <n v="0"/>
  </r>
  <r>
    <n v="36"/>
    <n v="10"/>
    <n v="21.62"/>
    <s v="Участник"/>
    <x v="1"/>
    <x v="3"/>
    <n v="21.62"/>
    <n v="91.89"/>
    <n v="0"/>
  </r>
  <r>
    <n v="37"/>
    <n v="10"/>
    <n v="20.27"/>
    <s v="Участник"/>
    <x v="1"/>
    <x v="3"/>
    <n v="20.27"/>
    <n v="91.89"/>
    <n v="0"/>
  </r>
  <r>
    <n v="38"/>
    <n v="10"/>
    <n v="18.920000000000002"/>
    <s v="Участник"/>
    <x v="1"/>
    <x v="3"/>
    <n v="18.920000000000002"/>
    <n v="91.89"/>
    <n v="0"/>
  </r>
  <r>
    <n v="39"/>
    <n v="10"/>
    <n v="14.86"/>
    <s v="Участник"/>
    <x v="1"/>
    <x v="3"/>
    <n v="14.86"/>
    <n v="91.89"/>
    <n v="0"/>
  </r>
  <r>
    <n v="40"/>
    <n v="10"/>
    <n v="9.4600000000000009"/>
    <s v="Участник"/>
    <x v="1"/>
    <x v="3"/>
    <n v="9.4600000000000009"/>
    <n v="91.89"/>
    <n v="0"/>
  </r>
  <r>
    <n v="41"/>
    <n v="10"/>
    <n v="5.41"/>
    <s v="Участник"/>
    <x v="1"/>
    <x v="3"/>
    <n v="5.41"/>
    <n v="91.89"/>
    <n v="0"/>
  </r>
  <r>
    <n v="42"/>
    <n v="10"/>
    <n v="2.7"/>
    <s v="Участник"/>
    <x v="1"/>
    <x v="3"/>
    <n v="2.7"/>
    <n v="91.89"/>
    <n v="0"/>
  </r>
  <r>
    <n v="1"/>
    <n v="11"/>
    <n v="90.54"/>
    <s v="Победитель"/>
    <x v="1"/>
    <x v="3"/>
    <n v="90.54"/>
    <n v="93.92"/>
    <n v="0"/>
  </r>
  <r>
    <n v="2"/>
    <n v="11"/>
    <n v="87.84"/>
    <s v="Победитель"/>
    <x v="1"/>
    <x v="3"/>
    <n v="87.84"/>
    <n v="93.92"/>
    <n v="0"/>
  </r>
  <r>
    <n v="3"/>
    <n v="11"/>
    <n v="85.14"/>
    <s v="Победитель"/>
    <x v="1"/>
    <x v="3"/>
    <n v="85.14"/>
    <n v="93.92"/>
    <n v="0"/>
  </r>
  <r>
    <n v="4"/>
    <n v="11"/>
    <n v="84.46"/>
    <s v="Призёр"/>
    <x v="1"/>
    <x v="3"/>
    <n v="84.46"/>
    <n v="93.92"/>
    <n v="0"/>
  </r>
  <r>
    <n v="5"/>
    <n v="11"/>
    <n v="83.78"/>
    <s v="Призёр"/>
    <x v="1"/>
    <x v="3"/>
    <n v="83.78"/>
    <n v="93.92"/>
    <n v="0"/>
  </r>
  <r>
    <n v="6"/>
    <n v="11"/>
    <n v="81.08"/>
    <s v="Призёр"/>
    <x v="1"/>
    <x v="3"/>
    <n v="81.08"/>
    <n v="93.92"/>
    <n v="0"/>
  </r>
  <r>
    <n v="7"/>
    <n v="11"/>
    <n v="81.08"/>
    <s v="Призёр"/>
    <x v="1"/>
    <x v="3"/>
    <n v="81.08"/>
    <n v="93.92"/>
    <n v="0"/>
  </r>
  <r>
    <n v="8"/>
    <n v="11"/>
    <n v="79.73"/>
    <s v="Призёр"/>
    <x v="1"/>
    <x v="3"/>
    <n v="79.73"/>
    <n v="93.92"/>
    <n v="0"/>
  </r>
  <r>
    <n v="9"/>
    <n v="11"/>
    <n v="77.03"/>
    <s v="Призёр"/>
    <x v="1"/>
    <x v="3"/>
    <n v="77.03"/>
    <n v="93.92"/>
    <n v="0"/>
  </r>
  <r>
    <n v="10"/>
    <n v="11"/>
    <n v="74.319999999999993"/>
    <s v="Призёр"/>
    <x v="1"/>
    <x v="3"/>
    <n v="74.319999999999993"/>
    <n v="93.92"/>
    <n v="0"/>
  </r>
  <r>
    <n v="11"/>
    <n v="11"/>
    <n v="72.97"/>
    <s v="Призёр"/>
    <x v="1"/>
    <x v="3"/>
    <n v="72.97"/>
    <n v="93.92"/>
    <n v="0"/>
  </r>
  <r>
    <n v="12"/>
    <n v="11"/>
    <n v="71.62"/>
    <s v="Призёр"/>
    <x v="1"/>
    <x v="3"/>
    <n v="71.62"/>
    <n v="93.92"/>
    <n v="0"/>
  </r>
  <r>
    <n v="13"/>
    <n v="11"/>
    <n v="70.27"/>
    <s v="Призёр"/>
    <x v="1"/>
    <x v="3"/>
    <n v="70.27"/>
    <n v="93.92"/>
    <n v="0"/>
  </r>
  <r>
    <n v="14"/>
    <n v="11"/>
    <n v="67.569999999999993"/>
    <s v="Призёр"/>
    <x v="1"/>
    <x v="3"/>
    <n v="67.569999999999993"/>
    <n v="93.92"/>
    <n v="0"/>
  </r>
  <r>
    <n v="15"/>
    <n v="11"/>
    <n v="67.569999999999993"/>
    <s v="Призёр"/>
    <x v="1"/>
    <x v="3"/>
    <n v="67.569999999999993"/>
    <n v="93.92"/>
    <n v="0"/>
  </r>
  <r>
    <n v="16"/>
    <n v="11"/>
    <n v="67.569999999999993"/>
    <s v="Призёр"/>
    <x v="1"/>
    <x v="3"/>
    <n v="67.569999999999993"/>
    <n v="93.92"/>
    <n v="0"/>
  </r>
  <r>
    <n v="17"/>
    <n v="11"/>
    <n v="63.51"/>
    <s v="Участник"/>
    <x v="1"/>
    <x v="3"/>
    <n v="63.51"/>
    <n v="93.92"/>
    <n v="0"/>
  </r>
  <r>
    <n v="18"/>
    <n v="11"/>
    <n v="62.16"/>
    <s v="Участник"/>
    <x v="1"/>
    <x v="3"/>
    <n v="62.16"/>
    <n v="93.92"/>
    <n v="0"/>
  </r>
  <r>
    <n v="19"/>
    <n v="11"/>
    <n v="60.81"/>
    <s v="Участник"/>
    <x v="1"/>
    <x v="3"/>
    <n v="60.81"/>
    <n v="93.92"/>
    <n v="0"/>
  </r>
  <r>
    <n v="20"/>
    <n v="11"/>
    <n v="58.11"/>
    <s v="Участник"/>
    <x v="1"/>
    <x v="3"/>
    <n v="58.109999999999992"/>
    <n v="93.92"/>
    <n v="0"/>
  </r>
  <r>
    <n v="21"/>
    <n v="11"/>
    <n v="56.76"/>
    <s v="Участник"/>
    <x v="1"/>
    <x v="3"/>
    <n v="56.76"/>
    <n v="93.92"/>
    <n v="0"/>
  </r>
  <r>
    <n v="22"/>
    <n v="11"/>
    <n v="52.7"/>
    <s v="Участник"/>
    <x v="1"/>
    <x v="3"/>
    <n v="52.7"/>
    <n v="93.92"/>
    <n v="0"/>
  </r>
  <r>
    <n v="23"/>
    <n v="11"/>
    <n v="47.3"/>
    <s v="Участник"/>
    <x v="1"/>
    <x v="3"/>
    <n v="47.3"/>
    <n v="93.92"/>
    <n v="0"/>
  </r>
  <r>
    <n v="24"/>
    <n v="11"/>
    <n v="45.95"/>
    <s v="Участник"/>
    <x v="1"/>
    <x v="3"/>
    <n v="45.95"/>
    <n v="93.92"/>
    <n v="0"/>
  </r>
  <r>
    <n v="25"/>
    <n v="11"/>
    <n v="45.95"/>
    <s v="Участник"/>
    <x v="1"/>
    <x v="3"/>
    <n v="45.95"/>
    <n v="93.92"/>
    <n v="0"/>
  </r>
  <r>
    <n v="26"/>
    <n v="11"/>
    <n v="40.54"/>
    <s v="Участник"/>
    <x v="1"/>
    <x v="3"/>
    <n v="40.54"/>
    <n v="93.92"/>
    <n v="0"/>
  </r>
  <r>
    <n v="27"/>
    <n v="11"/>
    <n v="37.840000000000003"/>
    <s v="Участник"/>
    <x v="1"/>
    <x v="3"/>
    <n v="37.840000000000003"/>
    <n v="93.92"/>
    <n v="0"/>
  </r>
  <r>
    <n v="28"/>
    <n v="11"/>
    <n v="37.840000000000003"/>
    <s v="Участник"/>
    <x v="1"/>
    <x v="3"/>
    <n v="37.840000000000003"/>
    <n v="93.92"/>
    <n v="0"/>
  </r>
  <r>
    <n v="29"/>
    <n v="11"/>
    <n v="35.14"/>
    <s v="Участник"/>
    <x v="1"/>
    <x v="3"/>
    <n v="35.14"/>
    <n v="93.92"/>
    <n v="0"/>
  </r>
  <r>
    <n v="30"/>
    <n v="11"/>
    <n v="33.78"/>
    <s v="Участник"/>
    <x v="1"/>
    <x v="3"/>
    <n v="33.78"/>
    <n v="93.92"/>
    <n v="0"/>
  </r>
  <r>
    <n v="31"/>
    <n v="11"/>
    <n v="29.73"/>
    <s v="Участник"/>
    <x v="1"/>
    <x v="3"/>
    <n v="29.73"/>
    <n v="93.92"/>
    <n v="0"/>
  </r>
  <r>
    <n v="32"/>
    <n v="11"/>
    <n v="27.03"/>
    <s v="Участник"/>
    <x v="1"/>
    <x v="3"/>
    <n v="27.03"/>
    <n v="93.92"/>
    <n v="0"/>
  </r>
  <r>
    <n v="33"/>
    <n v="11"/>
    <n v="25.68"/>
    <s v="Участник"/>
    <x v="1"/>
    <x v="3"/>
    <n v="25.68"/>
    <n v="93.92"/>
    <n v="0"/>
  </r>
  <r>
    <n v="34"/>
    <n v="11"/>
    <n v="24.32"/>
    <s v="Участник"/>
    <x v="1"/>
    <x v="3"/>
    <n v="24.32"/>
    <n v="93.92"/>
    <n v="0"/>
  </r>
  <r>
    <n v="35"/>
    <n v="11"/>
    <n v="24.32"/>
    <s v="Участник"/>
    <x v="1"/>
    <x v="3"/>
    <n v="24.32"/>
    <n v="93.92"/>
    <n v="0"/>
  </r>
  <r>
    <n v="36"/>
    <n v="11"/>
    <n v="20.27"/>
    <s v="Участник"/>
    <x v="1"/>
    <x v="3"/>
    <n v="20.27"/>
    <n v="93.92"/>
    <n v="0"/>
  </r>
  <r>
    <n v="37"/>
    <n v="11"/>
    <n v="20.27"/>
    <s v="Участник"/>
    <x v="1"/>
    <x v="3"/>
    <n v="20.27"/>
    <n v="93.92"/>
    <n v="0"/>
  </r>
  <r>
    <n v="38"/>
    <n v="11"/>
    <n v="18.920000000000002"/>
    <s v="Участник"/>
    <x v="1"/>
    <x v="3"/>
    <n v="18.920000000000002"/>
    <n v="93.92"/>
    <n v="0"/>
  </r>
  <r>
    <n v="39"/>
    <n v="11"/>
    <n v="9.4600000000000009"/>
    <s v="Участник"/>
    <x v="1"/>
    <x v="3"/>
    <n v="9.4600000000000009"/>
    <n v="93.92"/>
    <n v="0"/>
  </r>
  <r>
    <n v="1"/>
    <n v="9"/>
    <n v="44"/>
    <s v="Победитель"/>
    <x v="2"/>
    <x v="0"/>
    <n v="62.857142857142847"/>
    <n v="49"/>
    <n v="0"/>
  </r>
  <r>
    <n v="2"/>
    <n v="9"/>
    <n v="36"/>
    <s v="Призер"/>
    <x v="2"/>
    <x v="0"/>
    <n v="51.428571428571423"/>
    <n v="49"/>
    <n v="0"/>
  </r>
  <r>
    <n v="3"/>
    <n v="9"/>
    <n v="35"/>
    <s v="Призер"/>
    <x v="2"/>
    <x v="0"/>
    <n v="50"/>
    <n v="49"/>
    <n v="0"/>
  </r>
  <r>
    <n v="4"/>
    <n v="9"/>
    <n v="34"/>
    <s v="Призер"/>
    <x v="2"/>
    <x v="0"/>
    <n v="48.571428571428569"/>
    <n v="49"/>
    <n v="0"/>
  </r>
  <r>
    <n v="5"/>
    <n v="9"/>
    <n v="30"/>
    <s v="Призер"/>
    <x v="2"/>
    <x v="0"/>
    <n v="42.857142857142847"/>
    <n v="49"/>
    <n v="0"/>
  </r>
  <r>
    <n v="6"/>
    <n v="9"/>
    <n v="29"/>
    <s v="Призер"/>
    <x v="2"/>
    <x v="0"/>
    <n v="41.428571428571431"/>
    <n v="49"/>
    <n v="0"/>
  </r>
  <r>
    <n v="7"/>
    <n v="9"/>
    <n v="25"/>
    <s v="Участник"/>
    <x v="2"/>
    <x v="0"/>
    <n v="35.714285714285722"/>
    <n v="49"/>
    <n v="0"/>
  </r>
  <r>
    <n v="8"/>
    <n v="9"/>
    <n v="22"/>
    <s v="Участник"/>
    <x v="2"/>
    <x v="0"/>
    <n v="31.428571428571431"/>
    <n v="49"/>
    <n v="0"/>
  </r>
  <r>
    <n v="9"/>
    <n v="9"/>
    <n v="21"/>
    <s v="Участник"/>
    <x v="2"/>
    <x v="0"/>
    <n v="30"/>
    <n v="49"/>
    <n v="0"/>
  </r>
  <r>
    <n v="10"/>
    <n v="9"/>
    <n v="14"/>
    <s v="Участник"/>
    <x v="2"/>
    <x v="0"/>
    <n v="20"/>
    <n v="49"/>
    <n v="0"/>
  </r>
  <r>
    <n v="11"/>
    <n v="9"/>
    <n v="12"/>
    <s v="Участник"/>
    <x v="2"/>
    <x v="0"/>
    <n v="17.142857142857139"/>
    <n v="49"/>
    <n v="0"/>
  </r>
  <r>
    <n v="12"/>
    <n v="9"/>
    <n v="10"/>
    <s v="Участник"/>
    <x v="2"/>
    <x v="0"/>
    <n v="14.285714285714279"/>
    <n v="49"/>
    <n v="0"/>
  </r>
  <r>
    <n v="13"/>
    <n v="9"/>
    <n v="9"/>
    <s v="Участник"/>
    <x v="2"/>
    <x v="0"/>
    <n v="12.857142857142859"/>
    <n v="49"/>
    <n v="0"/>
  </r>
  <r>
    <n v="14"/>
    <n v="9"/>
    <n v="9"/>
    <s v="Участник"/>
    <x v="2"/>
    <x v="0"/>
    <n v="12.857142857142859"/>
    <n v="49"/>
    <n v="0"/>
  </r>
  <r>
    <n v="15"/>
    <n v="9"/>
    <n v="5"/>
    <s v="Участник"/>
    <x v="2"/>
    <x v="0"/>
    <n v="7.1428571428571423"/>
    <n v="49"/>
    <n v="0"/>
  </r>
  <r>
    <n v="16"/>
    <n v="9"/>
    <n v="2"/>
    <s v="Участник"/>
    <x v="2"/>
    <x v="0"/>
    <n v="2.8571428571428572"/>
    <n v="49"/>
    <n v="0"/>
  </r>
  <r>
    <n v="17"/>
    <n v="9"/>
    <n v="1"/>
    <s v="Участник"/>
    <x v="2"/>
    <x v="0"/>
    <n v="1.428571428571429"/>
    <n v="49"/>
    <n v="0"/>
  </r>
  <r>
    <n v="1"/>
    <n v="10"/>
    <n v="57"/>
    <s v="Победитель"/>
    <x v="2"/>
    <x v="0"/>
    <n v="81.428571428571431"/>
    <n v="56"/>
    <n v="1"/>
  </r>
  <r>
    <n v="2"/>
    <n v="10"/>
    <n v="50"/>
    <s v="Призер"/>
    <x v="2"/>
    <x v="0"/>
    <n v="71.428571428571431"/>
    <n v="56"/>
    <n v="0"/>
  </r>
  <r>
    <n v="3"/>
    <n v="10"/>
    <n v="49"/>
    <s v="Призер"/>
    <x v="2"/>
    <x v="0"/>
    <n v="70"/>
    <n v="56"/>
    <n v="0"/>
  </r>
  <r>
    <n v="4"/>
    <n v="10"/>
    <n v="44"/>
    <s v="Призер"/>
    <x v="2"/>
    <x v="0"/>
    <n v="62.857142857142847"/>
    <n v="56"/>
    <n v="0"/>
  </r>
  <r>
    <n v="5"/>
    <n v="10"/>
    <n v="42"/>
    <s v="Призер"/>
    <x v="2"/>
    <x v="0"/>
    <n v="60"/>
    <n v="56"/>
    <n v="0"/>
  </r>
  <r>
    <n v="6"/>
    <n v="10"/>
    <n v="42"/>
    <s v="Призер"/>
    <x v="2"/>
    <x v="0"/>
    <n v="60"/>
    <n v="56"/>
    <n v="0"/>
  </r>
  <r>
    <n v="7"/>
    <n v="10"/>
    <n v="38"/>
    <s v="Призер"/>
    <x v="2"/>
    <x v="0"/>
    <n v="54.285714285714278"/>
    <n v="56"/>
    <n v="0"/>
  </r>
  <r>
    <n v="8"/>
    <n v="10"/>
    <n v="37"/>
    <s v="Призер"/>
    <x v="2"/>
    <x v="0"/>
    <n v="52.857142857142861"/>
    <n v="56"/>
    <n v="0"/>
  </r>
  <r>
    <n v="9"/>
    <n v="10"/>
    <n v="37"/>
    <s v="Призер"/>
    <x v="2"/>
    <x v="0"/>
    <n v="52.857142857142861"/>
    <n v="56"/>
    <n v="0"/>
  </r>
  <r>
    <n v="10"/>
    <n v="10"/>
    <n v="36"/>
    <s v="Призер"/>
    <x v="2"/>
    <x v="0"/>
    <n v="51.428571428571423"/>
    <n v="56"/>
    <n v="0"/>
  </r>
  <r>
    <n v="11"/>
    <n v="10"/>
    <n v="33"/>
    <s v="Участник"/>
    <x v="2"/>
    <x v="0"/>
    <n v="47.142857142857139"/>
    <n v="56"/>
    <n v="0"/>
  </r>
  <r>
    <n v="12"/>
    <n v="10"/>
    <n v="31"/>
    <s v="Участник"/>
    <x v="2"/>
    <x v="0"/>
    <n v="44.285714285714278"/>
    <n v="56"/>
    <n v="0"/>
  </r>
  <r>
    <n v="13"/>
    <n v="10"/>
    <n v="30"/>
    <s v="Участник"/>
    <x v="2"/>
    <x v="0"/>
    <n v="42.857142857142847"/>
    <n v="56"/>
    <n v="0"/>
  </r>
  <r>
    <n v="14"/>
    <n v="10"/>
    <n v="30"/>
    <s v="Участник"/>
    <x v="2"/>
    <x v="0"/>
    <n v="42.857142857142847"/>
    <n v="56"/>
    <n v="0"/>
  </r>
  <r>
    <n v="15"/>
    <n v="10"/>
    <n v="28"/>
    <s v="Участник"/>
    <x v="2"/>
    <x v="0"/>
    <n v="40"/>
    <n v="56"/>
    <n v="0"/>
  </r>
  <r>
    <n v="16"/>
    <n v="10"/>
    <n v="27"/>
    <s v="Участник"/>
    <x v="2"/>
    <x v="0"/>
    <n v="38.571428571428577"/>
    <n v="56"/>
    <n v="0"/>
  </r>
  <r>
    <n v="17"/>
    <n v="10"/>
    <n v="26"/>
    <s v="Участник"/>
    <x v="2"/>
    <x v="0"/>
    <n v="37.142857142857153"/>
    <n v="56"/>
    <n v="0"/>
  </r>
  <r>
    <n v="18"/>
    <n v="10"/>
    <n v="26"/>
    <s v="Участник"/>
    <x v="2"/>
    <x v="0"/>
    <n v="37.142857142857153"/>
    <n v="56"/>
    <n v="0"/>
  </r>
  <r>
    <n v="19"/>
    <n v="10"/>
    <n v="23"/>
    <s v="Участник"/>
    <x v="2"/>
    <x v="0"/>
    <n v="32.857142857142847"/>
    <n v="56"/>
    <n v="0"/>
  </r>
  <r>
    <n v="20"/>
    <n v="10"/>
    <n v="22"/>
    <s v="Участник"/>
    <x v="2"/>
    <x v="0"/>
    <n v="31.428571428571431"/>
    <n v="56"/>
    <n v="0"/>
  </r>
  <r>
    <n v="21"/>
    <n v="10"/>
    <n v="22"/>
    <s v="Участник"/>
    <x v="2"/>
    <x v="0"/>
    <n v="31.428571428571431"/>
    <n v="56"/>
    <n v="0"/>
  </r>
  <r>
    <n v="22"/>
    <n v="10"/>
    <n v="20"/>
    <s v="Участник"/>
    <x v="2"/>
    <x v="0"/>
    <n v="28.571428571428569"/>
    <n v="56"/>
    <n v="0"/>
  </r>
  <r>
    <n v="23"/>
    <n v="10"/>
    <n v="16"/>
    <s v="Участник"/>
    <x v="2"/>
    <x v="0"/>
    <n v="22.857142857142861"/>
    <n v="56"/>
    <n v="0"/>
  </r>
  <r>
    <n v="24"/>
    <n v="10"/>
    <n v="15"/>
    <s v="Участник"/>
    <x v="2"/>
    <x v="0"/>
    <n v="21.428571428571431"/>
    <n v="56"/>
    <n v="0"/>
  </r>
  <r>
    <n v="25"/>
    <n v="10"/>
    <n v="13"/>
    <s v="Участник"/>
    <x v="2"/>
    <x v="0"/>
    <n v="18.571428571428569"/>
    <n v="56"/>
    <n v="0"/>
  </r>
  <r>
    <n v="1"/>
    <n v="11"/>
    <n v="70"/>
    <s v="Победитель"/>
    <x v="2"/>
    <x v="0"/>
    <n v="100"/>
    <n v="49"/>
    <n v="1"/>
  </r>
  <r>
    <n v="2"/>
    <n v="11"/>
    <n v="38"/>
    <s v="Призер"/>
    <x v="2"/>
    <x v="0"/>
    <n v="54.285714285714278"/>
    <n v="49"/>
    <n v="0"/>
  </r>
  <r>
    <n v="3"/>
    <n v="11"/>
    <n v="38"/>
    <s v="Призер"/>
    <x v="2"/>
    <x v="0"/>
    <n v="54.285714285714278"/>
    <n v="49"/>
    <n v="0"/>
  </r>
  <r>
    <n v="4"/>
    <n v="11"/>
    <n v="38"/>
    <s v="Призер"/>
    <x v="2"/>
    <x v="0"/>
    <n v="54.285714285714278"/>
    <n v="49"/>
    <n v="0"/>
  </r>
  <r>
    <n v="5"/>
    <n v="11"/>
    <n v="34"/>
    <s v="Участник"/>
    <x v="2"/>
    <x v="0"/>
    <n v="48.571428571428569"/>
    <n v="49"/>
    <n v="0"/>
  </r>
  <r>
    <n v="6"/>
    <n v="11"/>
    <n v="33"/>
    <s v="Участник"/>
    <x v="2"/>
    <x v="0"/>
    <n v="47.142857142857139"/>
    <n v="49"/>
    <n v="0"/>
  </r>
  <r>
    <n v="7"/>
    <n v="11"/>
    <n v="32"/>
    <s v="Участник"/>
    <x v="2"/>
    <x v="0"/>
    <n v="45.714285714285722"/>
    <n v="49"/>
    <n v="0"/>
  </r>
  <r>
    <n v="8"/>
    <n v="11"/>
    <n v="32"/>
    <s v="Участник"/>
    <x v="2"/>
    <x v="0"/>
    <n v="45.714285714285722"/>
    <n v="49"/>
    <n v="0"/>
  </r>
  <r>
    <n v="9"/>
    <n v="11"/>
    <n v="32"/>
    <s v="Участник"/>
    <x v="2"/>
    <x v="0"/>
    <n v="45.714285714285722"/>
    <n v="49"/>
    <n v="0"/>
  </r>
  <r>
    <n v="10"/>
    <n v="11"/>
    <n v="31"/>
    <s v="Участник"/>
    <x v="2"/>
    <x v="0"/>
    <n v="44.285714285714278"/>
    <n v="49"/>
    <n v="0"/>
  </r>
  <r>
    <n v="11"/>
    <n v="11"/>
    <n v="29"/>
    <s v="Участник"/>
    <x v="2"/>
    <x v="0"/>
    <n v="41.428571428571431"/>
    <n v="49"/>
    <n v="0"/>
  </r>
  <r>
    <n v="12"/>
    <n v="11"/>
    <n v="29"/>
    <s v="Участник"/>
    <x v="2"/>
    <x v="0"/>
    <n v="41.428571428571431"/>
    <n v="49"/>
    <n v="0"/>
  </r>
  <r>
    <n v="13"/>
    <n v="11"/>
    <n v="28"/>
    <s v="Участник"/>
    <x v="2"/>
    <x v="0"/>
    <n v="40"/>
    <n v="49"/>
    <n v="0"/>
  </r>
  <r>
    <n v="14"/>
    <n v="11"/>
    <n v="27"/>
    <s v="Участник"/>
    <x v="2"/>
    <x v="0"/>
    <n v="38.571428571428577"/>
    <n v="49"/>
    <n v="0"/>
  </r>
  <r>
    <n v="15"/>
    <n v="11"/>
    <n v="23"/>
    <s v="Участник"/>
    <x v="2"/>
    <x v="0"/>
    <n v="32.857142857142847"/>
    <n v="49"/>
    <n v="0"/>
  </r>
  <r>
    <n v="16"/>
    <n v="11"/>
    <n v="23"/>
    <s v="Участник"/>
    <x v="2"/>
    <x v="0"/>
    <n v="32.857142857142847"/>
    <n v="49"/>
    <n v="0"/>
  </r>
  <r>
    <n v="17"/>
    <n v="11"/>
    <n v="23"/>
    <s v="Участник"/>
    <x v="2"/>
    <x v="0"/>
    <n v="32.857142857142847"/>
    <n v="49"/>
    <n v="0"/>
  </r>
  <r>
    <n v="18"/>
    <n v="11"/>
    <n v="20"/>
    <s v="Участник"/>
    <x v="2"/>
    <x v="0"/>
    <n v="28.571428571428569"/>
    <n v="49"/>
    <n v="0"/>
  </r>
  <r>
    <n v="19"/>
    <n v="11"/>
    <n v="20"/>
    <s v="Участник"/>
    <x v="2"/>
    <x v="0"/>
    <n v="28.571428571428569"/>
    <n v="49"/>
    <n v="0"/>
  </r>
  <r>
    <n v="20"/>
    <n v="11"/>
    <n v="18"/>
    <s v="Участник"/>
    <x v="2"/>
    <x v="0"/>
    <n v="25.714285714285712"/>
    <n v="49"/>
    <n v="0"/>
  </r>
  <r>
    <n v="21"/>
    <n v="11"/>
    <n v="15"/>
    <s v="Участник"/>
    <x v="2"/>
    <x v="0"/>
    <n v="21.428571428571431"/>
    <n v="49"/>
    <n v="0"/>
  </r>
  <r>
    <n v="22"/>
    <n v="11"/>
    <n v="10"/>
    <s v="Участник"/>
    <x v="2"/>
    <x v="0"/>
    <n v="14.285714285714279"/>
    <n v="49"/>
    <n v="0"/>
  </r>
  <r>
    <n v="23"/>
    <n v="11"/>
    <n v="10"/>
    <s v="Участник"/>
    <x v="2"/>
    <x v="0"/>
    <n v="14.285714285714279"/>
    <n v="49"/>
    <n v="0"/>
  </r>
  <r>
    <n v="24"/>
    <n v="11"/>
    <n v="9"/>
    <s v="Участник"/>
    <x v="2"/>
    <x v="0"/>
    <n v="12.857142857142859"/>
    <n v="49"/>
    <n v="0"/>
  </r>
  <r>
    <n v="25"/>
    <n v="11"/>
    <n v="7"/>
    <s v="Участник"/>
    <x v="2"/>
    <x v="0"/>
    <n v="10"/>
    <n v="49"/>
    <n v="0"/>
  </r>
  <r>
    <n v="26"/>
    <n v="11"/>
    <n v="1"/>
    <s v="Участник"/>
    <x v="2"/>
    <x v="0"/>
    <n v="1.428571428571429"/>
    <n v="49"/>
    <n v="0"/>
  </r>
  <r>
    <n v="1"/>
    <n v="9"/>
    <n v="37"/>
    <s v="Победитель"/>
    <x v="2"/>
    <x v="1"/>
    <n v="52.857142857142861"/>
    <n v="42"/>
    <n v="0"/>
  </r>
  <r>
    <n v="2"/>
    <n v="9"/>
    <n v="35"/>
    <s v="Победитель"/>
    <x v="2"/>
    <x v="1"/>
    <n v="50"/>
    <n v="42"/>
    <n v="0"/>
  </r>
  <r>
    <n v="3"/>
    <n v="9"/>
    <n v="28"/>
    <s v="Призер"/>
    <x v="2"/>
    <x v="1"/>
    <n v="40"/>
    <n v="42"/>
    <n v="0"/>
  </r>
  <r>
    <n v="4"/>
    <n v="9"/>
    <n v="28"/>
    <s v="Призер"/>
    <x v="2"/>
    <x v="1"/>
    <n v="40"/>
    <n v="42"/>
    <n v="0"/>
  </r>
  <r>
    <n v="5"/>
    <n v="9"/>
    <n v="26"/>
    <s v="Призер"/>
    <x v="2"/>
    <x v="1"/>
    <n v="37.142857142857153"/>
    <n v="42"/>
    <n v="0"/>
  </r>
  <r>
    <n v="6"/>
    <n v="9"/>
    <n v="24"/>
    <s v="Призер"/>
    <x v="2"/>
    <x v="1"/>
    <n v="34.285714285714278"/>
    <n v="42"/>
    <n v="0"/>
  </r>
  <r>
    <n v="7"/>
    <n v="9"/>
    <n v="24"/>
    <s v="Призер"/>
    <x v="2"/>
    <x v="1"/>
    <n v="34.285714285714278"/>
    <n v="42"/>
    <n v="0"/>
  </r>
  <r>
    <n v="8"/>
    <n v="9"/>
    <n v="19"/>
    <s v="Участник"/>
    <x v="2"/>
    <x v="1"/>
    <n v="27.142857142857139"/>
    <n v="42"/>
    <n v="0"/>
  </r>
  <r>
    <n v="9"/>
    <n v="9"/>
    <n v="17"/>
    <s v="Участник"/>
    <x v="2"/>
    <x v="1"/>
    <n v="24.285714285714281"/>
    <n v="42"/>
    <n v="0"/>
  </r>
  <r>
    <n v="10"/>
    <n v="9"/>
    <n v="10"/>
    <s v="Участник"/>
    <x v="2"/>
    <x v="1"/>
    <n v="14.285714285714279"/>
    <n v="42"/>
    <n v="0"/>
  </r>
  <r>
    <n v="11"/>
    <n v="9"/>
    <n v="10"/>
    <s v="Участник"/>
    <x v="2"/>
    <x v="1"/>
    <n v="14.285714285714279"/>
    <n v="42"/>
    <n v="0"/>
  </r>
  <r>
    <n v="12"/>
    <n v="9"/>
    <n v="10"/>
    <s v="Участник"/>
    <x v="2"/>
    <x v="1"/>
    <n v="14.285714285714279"/>
    <n v="42"/>
    <n v="0"/>
  </r>
  <r>
    <n v="13"/>
    <n v="9"/>
    <n v="10"/>
    <s v="Участник"/>
    <x v="2"/>
    <x v="1"/>
    <n v="14.285714285714279"/>
    <n v="42"/>
    <n v="0"/>
  </r>
  <r>
    <n v="14"/>
    <n v="9"/>
    <n v="9"/>
    <s v="Участник"/>
    <x v="2"/>
    <x v="1"/>
    <n v="12.857142857142859"/>
    <n v="42"/>
    <n v="0"/>
  </r>
  <r>
    <n v="15"/>
    <n v="9"/>
    <n v="8"/>
    <s v="Участник"/>
    <x v="2"/>
    <x v="1"/>
    <n v="11.428571428571431"/>
    <n v="42"/>
    <n v="0"/>
  </r>
  <r>
    <n v="16"/>
    <n v="9"/>
    <n v="7"/>
    <s v="Участник"/>
    <x v="2"/>
    <x v="1"/>
    <n v="10"/>
    <n v="42"/>
    <n v="0"/>
  </r>
  <r>
    <n v="17"/>
    <n v="9"/>
    <n v="7"/>
    <s v="Участник"/>
    <x v="2"/>
    <x v="1"/>
    <n v="10"/>
    <n v="42"/>
    <n v="0"/>
  </r>
  <r>
    <n v="18"/>
    <n v="9"/>
    <n v="5"/>
    <s v="Участник"/>
    <x v="2"/>
    <x v="1"/>
    <n v="7.1428571428571423"/>
    <n v="42"/>
    <n v="0"/>
  </r>
  <r>
    <n v="19"/>
    <n v="9"/>
    <n v="3"/>
    <s v="Участник"/>
    <x v="2"/>
    <x v="1"/>
    <n v="4.2857142857142856"/>
    <n v="42"/>
    <n v="0"/>
  </r>
  <r>
    <n v="20"/>
    <n v="9"/>
    <n v="3"/>
    <s v="Участник"/>
    <x v="2"/>
    <x v="1"/>
    <n v="4.2857142857142856"/>
    <n v="42"/>
    <n v="0"/>
  </r>
  <r>
    <n v="21"/>
    <n v="9"/>
    <n v="2"/>
    <s v="Участник"/>
    <x v="2"/>
    <x v="1"/>
    <n v="2.8571428571428572"/>
    <n v="42"/>
    <n v="0"/>
  </r>
  <r>
    <n v="22"/>
    <n v="9"/>
    <n v="2"/>
    <s v="Участник"/>
    <x v="2"/>
    <x v="1"/>
    <n v="2.8571428571428572"/>
    <n v="42"/>
    <n v="0"/>
  </r>
  <r>
    <n v="23"/>
    <n v="9"/>
    <n v="2"/>
    <s v="Участник"/>
    <x v="2"/>
    <x v="1"/>
    <n v="2.8571428571428572"/>
    <n v="42"/>
    <n v="0"/>
  </r>
  <r>
    <n v="24"/>
    <n v="9"/>
    <n v="2"/>
    <s v="Участник"/>
    <x v="2"/>
    <x v="1"/>
    <n v="2.8571428571428572"/>
    <n v="42"/>
    <n v="0"/>
  </r>
  <r>
    <n v="25"/>
    <n v="9"/>
    <n v="2"/>
    <s v="Участник"/>
    <x v="2"/>
    <x v="1"/>
    <n v="2.8571428571428572"/>
    <n v="42"/>
    <n v="0"/>
  </r>
  <r>
    <n v="26"/>
    <n v="9"/>
    <n v="2"/>
    <s v="Участник"/>
    <x v="2"/>
    <x v="1"/>
    <n v="2.8571428571428572"/>
    <n v="42"/>
    <n v="0"/>
  </r>
  <r>
    <n v="27"/>
    <n v="9"/>
    <n v="1"/>
    <s v="Участник"/>
    <x v="2"/>
    <x v="1"/>
    <n v="1.428571428571429"/>
    <n v="42"/>
    <n v="0"/>
  </r>
  <r>
    <n v="28"/>
    <n v="9"/>
    <n v="1"/>
    <s v="Участник"/>
    <x v="2"/>
    <x v="1"/>
    <n v="1.428571428571429"/>
    <n v="42"/>
    <n v="0"/>
  </r>
  <r>
    <n v="29"/>
    <n v="9"/>
    <n v="1"/>
    <s v="Участник"/>
    <x v="2"/>
    <x v="1"/>
    <n v="1.428571428571429"/>
    <n v="42"/>
    <n v="0"/>
  </r>
  <r>
    <n v="30"/>
    <n v="9"/>
    <n v="1"/>
    <s v="Участник"/>
    <x v="2"/>
    <x v="1"/>
    <n v="1.428571428571429"/>
    <n v="42"/>
    <n v="0"/>
  </r>
  <r>
    <n v="31"/>
    <n v="9"/>
    <n v="1"/>
    <s v="Участник"/>
    <x v="2"/>
    <x v="1"/>
    <n v="1.428571428571429"/>
    <n v="42"/>
    <n v="0"/>
  </r>
  <r>
    <n v="32"/>
    <n v="9"/>
    <n v="1"/>
    <s v="Участник"/>
    <x v="2"/>
    <x v="1"/>
    <n v="1.428571428571429"/>
    <n v="42"/>
    <n v="0"/>
  </r>
  <r>
    <n v="33"/>
    <n v="9"/>
    <n v="0"/>
    <s v="Участник"/>
    <x v="2"/>
    <x v="1"/>
    <n v="0"/>
    <n v="42"/>
    <n v="0"/>
  </r>
  <r>
    <n v="34"/>
    <n v="9"/>
    <n v="0"/>
    <s v="Участник"/>
    <x v="2"/>
    <x v="1"/>
    <n v="0"/>
    <n v="42"/>
    <n v="0"/>
  </r>
  <r>
    <n v="35"/>
    <n v="9"/>
    <n v="0"/>
    <s v="Участник"/>
    <x v="2"/>
    <x v="1"/>
    <n v="0"/>
    <n v="42"/>
    <n v="0"/>
  </r>
  <r>
    <n v="36"/>
    <n v="9"/>
    <n v="0"/>
    <s v="Участник"/>
    <x v="2"/>
    <x v="1"/>
    <n v="0"/>
    <n v="42"/>
    <n v="0"/>
  </r>
  <r>
    <n v="37"/>
    <n v="9"/>
    <n v="0"/>
    <s v="Участник"/>
    <x v="2"/>
    <x v="1"/>
    <n v="0"/>
    <n v="42"/>
    <n v="0"/>
  </r>
  <r>
    <n v="38"/>
    <n v="9"/>
    <n v="0"/>
    <s v="Участник"/>
    <x v="2"/>
    <x v="1"/>
    <n v="0"/>
    <n v="42"/>
    <n v="0"/>
  </r>
  <r>
    <n v="39"/>
    <n v="9"/>
    <n v="0"/>
    <s v="Участник"/>
    <x v="2"/>
    <x v="1"/>
    <n v="0"/>
    <n v="42"/>
    <n v="0"/>
  </r>
  <r>
    <n v="40"/>
    <n v="9"/>
    <n v="0"/>
    <s v="Участник"/>
    <x v="2"/>
    <x v="1"/>
    <n v="0"/>
    <n v="42"/>
    <n v="0"/>
  </r>
  <r>
    <n v="41"/>
    <n v="9"/>
    <n v="0"/>
    <s v="Участник"/>
    <x v="2"/>
    <x v="1"/>
    <n v="0"/>
    <n v="42"/>
    <n v="0"/>
  </r>
  <r>
    <n v="42"/>
    <n v="9"/>
    <n v="0"/>
    <s v="Участник"/>
    <x v="2"/>
    <x v="1"/>
    <n v="0"/>
    <n v="42"/>
    <n v="0"/>
  </r>
  <r>
    <n v="43"/>
    <n v="9"/>
    <n v="0"/>
    <s v="Участник"/>
    <x v="2"/>
    <x v="1"/>
    <n v="0"/>
    <n v="42"/>
    <n v="0"/>
  </r>
  <r>
    <n v="44"/>
    <n v="9"/>
    <n v="0"/>
    <s v="Участник"/>
    <x v="2"/>
    <x v="1"/>
    <n v="0"/>
    <n v="42"/>
    <n v="0"/>
  </r>
  <r>
    <n v="45"/>
    <n v="9"/>
    <n v="0"/>
    <s v="Участник"/>
    <x v="2"/>
    <x v="1"/>
    <n v="0"/>
    <n v="42"/>
    <n v="0"/>
  </r>
  <r>
    <n v="46"/>
    <n v="9"/>
    <n v="0"/>
    <s v="Участник"/>
    <x v="2"/>
    <x v="1"/>
    <n v="0"/>
    <n v="42"/>
    <n v="0"/>
  </r>
  <r>
    <n v="1"/>
    <n v="10"/>
    <n v="50"/>
    <s v="Победитель"/>
    <x v="2"/>
    <x v="1"/>
    <n v="71.428571428571431"/>
    <n v="45"/>
    <n v="1"/>
  </r>
  <r>
    <n v="2"/>
    <n v="10"/>
    <n v="45"/>
    <s v="Победитель"/>
    <x v="2"/>
    <x v="1"/>
    <n v="64.285714285714292"/>
    <n v="45"/>
    <n v="1"/>
  </r>
  <r>
    <n v="3"/>
    <n v="10"/>
    <n v="42"/>
    <s v="Победитель"/>
    <x v="2"/>
    <x v="1"/>
    <n v="60"/>
    <n v="45"/>
    <n v="0"/>
  </r>
  <r>
    <n v="4"/>
    <n v="10"/>
    <n v="37"/>
    <s v="Призер"/>
    <x v="2"/>
    <x v="1"/>
    <n v="52.857142857142861"/>
    <n v="45"/>
    <n v="0"/>
  </r>
  <r>
    <n v="5"/>
    <n v="10"/>
    <n v="37"/>
    <s v="Призер"/>
    <x v="2"/>
    <x v="1"/>
    <n v="52.857142857142861"/>
    <n v="45"/>
    <n v="0"/>
  </r>
  <r>
    <n v="6"/>
    <n v="10"/>
    <n v="30"/>
    <s v="Призер"/>
    <x v="2"/>
    <x v="1"/>
    <n v="42.857142857142847"/>
    <n v="45"/>
    <n v="0"/>
  </r>
  <r>
    <n v="7"/>
    <n v="10"/>
    <n v="30"/>
    <s v="Призер"/>
    <x v="2"/>
    <x v="1"/>
    <n v="42.857142857142847"/>
    <n v="45"/>
    <n v="0"/>
  </r>
  <r>
    <n v="8"/>
    <n v="10"/>
    <n v="29"/>
    <s v="Призер"/>
    <x v="2"/>
    <x v="1"/>
    <n v="41.428571428571431"/>
    <n v="45"/>
    <n v="0"/>
  </r>
  <r>
    <n v="9"/>
    <n v="10"/>
    <n v="29"/>
    <s v="Призер"/>
    <x v="2"/>
    <x v="1"/>
    <n v="41.428571428571431"/>
    <n v="45"/>
    <n v="0"/>
  </r>
  <r>
    <n v="10"/>
    <n v="10"/>
    <n v="29"/>
    <s v="Призер"/>
    <x v="2"/>
    <x v="1"/>
    <n v="41.428571428571431"/>
    <n v="45"/>
    <n v="0"/>
  </r>
  <r>
    <n v="11"/>
    <n v="10"/>
    <n v="28"/>
    <s v="Призер"/>
    <x v="2"/>
    <x v="1"/>
    <n v="40"/>
    <n v="45"/>
    <n v="0"/>
  </r>
  <r>
    <n v="12"/>
    <n v="10"/>
    <n v="28"/>
    <s v="Призер"/>
    <x v="2"/>
    <x v="1"/>
    <n v="40"/>
    <n v="45"/>
    <n v="0"/>
  </r>
  <r>
    <n v="13"/>
    <n v="10"/>
    <n v="28"/>
    <s v="Призер"/>
    <x v="2"/>
    <x v="1"/>
    <n v="40"/>
    <n v="45"/>
    <n v="0"/>
  </r>
  <r>
    <n v="14"/>
    <n v="10"/>
    <n v="28"/>
    <s v="Призер"/>
    <x v="2"/>
    <x v="1"/>
    <n v="40"/>
    <n v="45"/>
    <n v="0"/>
  </r>
  <r>
    <n v="15"/>
    <n v="10"/>
    <n v="27"/>
    <s v="Призер"/>
    <x v="2"/>
    <x v="1"/>
    <n v="38.571428571428577"/>
    <n v="45"/>
    <n v="0"/>
  </r>
  <r>
    <n v="16"/>
    <n v="10"/>
    <n v="25"/>
    <s v="Участник"/>
    <x v="2"/>
    <x v="1"/>
    <n v="35.714285714285722"/>
    <n v="45"/>
    <n v="0"/>
  </r>
  <r>
    <n v="17"/>
    <n v="10"/>
    <n v="24"/>
    <s v="Участник"/>
    <x v="2"/>
    <x v="1"/>
    <n v="34.285714285714278"/>
    <n v="45"/>
    <n v="0"/>
  </r>
  <r>
    <n v="18"/>
    <n v="10"/>
    <n v="22"/>
    <s v="Участник"/>
    <x v="2"/>
    <x v="1"/>
    <n v="31.428571428571431"/>
    <n v="45"/>
    <n v="0"/>
  </r>
  <r>
    <n v="19"/>
    <n v="10"/>
    <n v="21"/>
    <s v="Участник"/>
    <x v="2"/>
    <x v="1"/>
    <n v="30"/>
    <n v="45"/>
    <n v="0"/>
  </r>
  <r>
    <n v="20"/>
    <n v="10"/>
    <n v="21"/>
    <s v="Участник"/>
    <x v="2"/>
    <x v="1"/>
    <n v="30"/>
    <n v="45"/>
    <n v="0"/>
  </r>
  <r>
    <n v="21"/>
    <n v="10"/>
    <n v="21"/>
    <s v="Участник"/>
    <x v="2"/>
    <x v="1"/>
    <n v="30"/>
    <n v="45"/>
    <n v="0"/>
  </r>
  <r>
    <n v="22"/>
    <n v="10"/>
    <n v="17"/>
    <s v="Участник"/>
    <x v="2"/>
    <x v="1"/>
    <n v="24.285714285714281"/>
    <n v="45"/>
    <n v="0"/>
  </r>
  <r>
    <n v="23"/>
    <n v="10"/>
    <n v="16"/>
    <s v="Участник"/>
    <x v="2"/>
    <x v="1"/>
    <n v="22.857142857142861"/>
    <n v="45"/>
    <n v="0"/>
  </r>
  <r>
    <n v="24"/>
    <n v="10"/>
    <n v="16"/>
    <s v="Участник"/>
    <x v="2"/>
    <x v="1"/>
    <n v="22.857142857142861"/>
    <n v="45"/>
    <n v="0"/>
  </r>
  <r>
    <n v="25"/>
    <n v="10"/>
    <n v="16"/>
    <s v="Участник"/>
    <x v="2"/>
    <x v="1"/>
    <n v="22.857142857142861"/>
    <n v="45"/>
    <n v="0"/>
  </r>
  <r>
    <n v="26"/>
    <n v="10"/>
    <n v="15"/>
    <s v="Участник"/>
    <x v="2"/>
    <x v="1"/>
    <n v="21.428571428571431"/>
    <n v="45"/>
    <n v="0"/>
  </r>
  <r>
    <n v="27"/>
    <n v="10"/>
    <n v="15"/>
    <s v="Участник"/>
    <x v="2"/>
    <x v="1"/>
    <n v="21.428571428571431"/>
    <n v="45"/>
    <n v="0"/>
  </r>
  <r>
    <n v="28"/>
    <n v="10"/>
    <n v="15"/>
    <s v="Участник"/>
    <x v="2"/>
    <x v="1"/>
    <n v="21.428571428571431"/>
    <n v="45"/>
    <n v="0"/>
  </r>
  <r>
    <n v="29"/>
    <n v="10"/>
    <n v="14"/>
    <s v="Участник"/>
    <x v="2"/>
    <x v="1"/>
    <n v="20"/>
    <n v="45"/>
    <n v="0"/>
  </r>
  <r>
    <n v="30"/>
    <n v="10"/>
    <n v="14"/>
    <s v="Участник"/>
    <x v="2"/>
    <x v="1"/>
    <n v="20"/>
    <n v="45"/>
    <n v="0"/>
  </r>
  <r>
    <n v="31"/>
    <n v="10"/>
    <n v="14"/>
    <s v="Участник"/>
    <x v="2"/>
    <x v="1"/>
    <n v="20"/>
    <n v="45"/>
    <n v="0"/>
  </r>
  <r>
    <n v="32"/>
    <n v="10"/>
    <n v="14"/>
    <s v="Участник"/>
    <x v="2"/>
    <x v="1"/>
    <n v="20"/>
    <n v="45"/>
    <n v="0"/>
  </r>
  <r>
    <n v="33"/>
    <n v="10"/>
    <n v="12"/>
    <s v="Участник"/>
    <x v="2"/>
    <x v="1"/>
    <n v="17.142857142857139"/>
    <n v="45"/>
    <n v="0"/>
  </r>
  <r>
    <n v="34"/>
    <n v="10"/>
    <n v="12"/>
    <s v="Участник"/>
    <x v="2"/>
    <x v="1"/>
    <n v="17.142857142857139"/>
    <n v="45"/>
    <n v="0"/>
  </r>
  <r>
    <n v="35"/>
    <n v="10"/>
    <n v="10"/>
    <s v="Участник"/>
    <x v="2"/>
    <x v="1"/>
    <n v="14.285714285714279"/>
    <n v="45"/>
    <n v="0"/>
  </r>
  <r>
    <s v="Зд"/>
    <n v="10"/>
    <n v="10"/>
    <s v="Участник"/>
    <x v="2"/>
    <x v="1"/>
    <n v="14.285714285714279"/>
    <n v="45"/>
    <n v="0"/>
  </r>
  <r>
    <n v="37"/>
    <n v="10"/>
    <n v="9"/>
    <s v="Участник"/>
    <x v="2"/>
    <x v="1"/>
    <n v="12.857142857142859"/>
    <n v="45"/>
    <n v="0"/>
  </r>
  <r>
    <n v="38"/>
    <n v="10"/>
    <n v="8"/>
    <s v="Участник"/>
    <x v="2"/>
    <x v="1"/>
    <n v="11.428571428571431"/>
    <n v="45"/>
    <n v="0"/>
  </r>
  <r>
    <n v="39"/>
    <n v="10"/>
    <n v="8"/>
    <s v="Участник"/>
    <x v="2"/>
    <x v="1"/>
    <n v="11.428571428571431"/>
    <n v="45"/>
    <n v="0"/>
  </r>
  <r>
    <n v="40"/>
    <n v="10"/>
    <n v="7"/>
    <s v="Участник"/>
    <x v="2"/>
    <x v="1"/>
    <n v="10"/>
    <n v="45"/>
    <n v="0"/>
  </r>
  <r>
    <n v="41"/>
    <n v="10"/>
    <n v="7"/>
    <s v="Участник"/>
    <x v="2"/>
    <x v="1"/>
    <n v="10"/>
    <n v="45"/>
    <n v="0"/>
  </r>
  <r>
    <n v="42"/>
    <n v="10"/>
    <n v="7"/>
    <s v="Участник"/>
    <x v="2"/>
    <x v="1"/>
    <n v="10"/>
    <n v="45"/>
    <n v="0"/>
  </r>
  <r>
    <n v="43"/>
    <n v="10"/>
    <n v="4"/>
    <s v="Участник"/>
    <x v="2"/>
    <x v="1"/>
    <n v="5.7142857142857144"/>
    <n v="45"/>
    <n v="0"/>
  </r>
  <r>
    <n v="44"/>
    <n v="10"/>
    <n v="3"/>
    <s v="Участник"/>
    <x v="2"/>
    <x v="1"/>
    <n v="4.2857142857142856"/>
    <n v="45"/>
    <n v="0"/>
  </r>
  <r>
    <n v="45"/>
    <n v="10"/>
    <n v="0"/>
    <s v="Участник"/>
    <x v="2"/>
    <x v="1"/>
    <n v="0"/>
    <n v="45"/>
    <n v="0"/>
  </r>
  <r>
    <n v="1"/>
    <n v="11"/>
    <n v="49"/>
    <s v="Победитель"/>
    <x v="2"/>
    <x v="1"/>
    <n v="70"/>
    <n v="49"/>
    <n v="1"/>
  </r>
  <r>
    <n v="2"/>
    <n v="11"/>
    <n v="39"/>
    <s v="Победитель"/>
    <x v="2"/>
    <x v="1"/>
    <n v="55.714285714285722"/>
    <n v="49"/>
    <n v="0"/>
  </r>
  <r>
    <n v="3"/>
    <n v="11"/>
    <n v="35"/>
    <s v="Призер"/>
    <x v="2"/>
    <x v="1"/>
    <n v="50"/>
    <n v="49"/>
    <n v="0"/>
  </r>
  <r>
    <n v="4"/>
    <n v="11"/>
    <n v="35"/>
    <s v="Призер"/>
    <x v="2"/>
    <x v="1"/>
    <n v="50"/>
    <n v="49"/>
    <n v="0"/>
  </r>
  <r>
    <n v="5"/>
    <n v="11"/>
    <n v="35"/>
    <s v="Призер"/>
    <x v="2"/>
    <x v="1"/>
    <n v="50"/>
    <n v="49"/>
    <n v="0"/>
  </r>
  <r>
    <n v="6"/>
    <n v="11"/>
    <n v="35"/>
    <s v="Призер"/>
    <x v="2"/>
    <x v="1"/>
    <n v="50"/>
    <n v="49"/>
    <n v="0"/>
  </r>
  <r>
    <n v="7"/>
    <n v="11"/>
    <n v="28"/>
    <s v="Призер"/>
    <x v="2"/>
    <x v="1"/>
    <n v="40"/>
    <n v="49"/>
    <n v="0"/>
  </r>
  <r>
    <n v="8"/>
    <n v="11"/>
    <n v="28"/>
    <s v="Призер"/>
    <x v="2"/>
    <x v="1"/>
    <n v="40"/>
    <n v="49"/>
    <n v="0"/>
  </r>
  <r>
    <n v="9"/>
    <n v="11"/>
    <n v="25"/>
    <s v="Участник"/>
    <x v="2"/>
    <x v="1"/>
    <n v="35.714285714285722"/>
    <n v="49"/>
    <n v="0"/>
  </r>
  <r>
    <n v="10"/>
    <n v="11"/>
    <n v="25"/>
    <s v="Участник"/>
    <x v="2"/>
    <x v="1"/>
    <n v="35.714285714285722"/>
    <n v="49"/>
    <n v="0"/>
  </r>
  <r>
    <n v="11"/>
    <n v="11"/>
    <n v="21"/>
    <s v="Участник"/>
    <x v="2"/>
    <x v="1"/>
    <n v="30"/>
    <n v="49"/>
    <n v="0"/>
  </r>
  <r>
    <n v="12"/>
    <n v="11"/>
    <n v="20"/>
    <s v="Участник"/>
    <x v="2"/>
    <x v="1"/>
    <n v="28.571428571428569"/>
    <n v="49"/>
    <n v="0"/>
  </r>
  <r>
    <n v="13"/>
    <n v="11"/>
    <n v="20"/>
    <s v="Участник"/>
    <x v="2"/>
    <x v="1"/>
    <n v="28.571428571428569"/>
    <n v="49"/>
    <n v="0"/>
  </r>
  <r>
    <n v="14"/>
    <n v="11"/>
    <n v="16"/>
    <s v="Участник"/>
    <x v="2"/>
    <x v="1"/>
    <n v="22.857142857142861"/>
    <n v="49"/>
    <n v="0"/>
  </r>
  <r>
    <n v="15"/>
    <n v="11"/>
    <n v="15"/>
    <s v="Участник"/>
    <x v="2"/>
    <x v="1"/>
    <n v="21.428571428571431"/>
    <n v="49"/>
    <n v="0"/>
  </r>
  <r>
    <n v="16"/>
    <n v="11"/>
    <n v="15"/>
    <s v="Участник"/>
    <x v="2"/>
    <x v="1"/>
    <n v="21.428571428571431"/>
    <n v="49"/>
    <n v="0"/>
  </r>
  <r>
    <n v="17"/>
    <n v="11"/>
    <n v="14"/>
    <s v="Участник"/>
    <x v="2"/>
    <x v="1"/>
    <n v="20"/>
    <n v="49"/>
    <n v="0"/>
  </r>
  <r>
    <n v="18"/>
    <n v="11"/>
    <n v="14"/>
    <s v="Участник"/>
    <x v="2"/>
    <x v="1"/>
    <n v="20"/>
    <n v="49"/>
    <n v="0"/>
  </r>
  <r>
    <n v="19"/>
    <n v="11"/>
    <n v="14"/>
    <s v="Участник"/>
    <x v="2"/>
    <x v="1"/>
    <n v="20"/>
    <n v="49"/>
    <n v="0"/>
  </r>
  <r>
    <n v="20"/>
    <n v="11"/>
    <n v="14"/>
    <s v="Участник"/>
    <x v="2"/>
    <x v="1"/>
    <n v="20"/>
    <n v="49"/>
    <n v="0"/>
  </r>
  <r>
    <n v="21"/>
    <n v="11"/>
    <n v="14"/>
    <s v="Участник"/>
    <x v="2"/>
    <x v="1"/>
    <n v="20"/>
    <n v="49"/>
    <n v="0"/>
  </r>
  <r>
    <n v="22"/>
    <n v="11"/>
    <n v="14"/>
    <s v="Участник"/>
    <x v="2"/>
    <x v="1"/>
    <n v="20"/>
    <n v="49"/>
    <n v="0"/>
  </r>
  <r>
    <n v="23"/>
    <n v="11"/>
    <n v="13"/>
    <s v="Участник"/>
    <x v="2"/>
    <x v="1"/>
    <n v="18.571428571428569"/>
    <n v="49"/>
    <n v="0"/>
  </r>
  <r>
    <n v="24"/>
    <n v="11"/>
    <n v="13"/>
    <s v="Участник"/>
    <x v="2"/>
    <x v="1"/>
    <n v="18.571428571428569"/>
    <n v="49"/>
    <n v="0"/>
  </r>
  <r>
    <n v="25"/>
    <n v="11"/>
    <n v="9"/>
    <s v="Участник"/>
    <x v="2"/>
    <x v="1"/>
    <n v="12.857142857142859"/>
    <n v="49"/>
    <n v="0"/>
  </r>
  <r>
    <n v="26"/>
    <n v="11"/>
    <n v="8"/>
    <s v="Участник"/>
    <x v="2"/>
    <x v="1"/>
    <n v="11.428571428571431"/>
    <n v="49"/>
    <n v="0"/>
  </r>
  <r>
    <n v="27"/>
    <n v="11"/>
    <n v="7"/>
    <s v="Участник"/>
    <x v="2"/>
    <x v="1"/>
    <n v="10"/>
    <n v="49"/>
    <n v="0"/>
  </r>
  <r>
    <n v="28"/>
    <n v="11"/>
    <n v="7"/>
    <s v="Участник"/>
    <x v="2"/>
    <x v="1"/>
    <n v="10"/>
    <n v="49"/>
    <n v="0"/>
  </r>
  <r>
    <n v="29"/>
    <n v="11"/>
    <n v="7"/>
    <s v="Участник"/>
    <x v="2"/>
    <x v="1"/>
    <n v="10"/>
    <n v="49"/>
    <n v="0"/>
  </r>
  <r>
    <n v="30"/>
    <n v="11"/>
    <n v="7"/>
    <s v="Участник"/>
    <x v="2"/>
    <x v="1"/>
    <n v="10"/>
    <n v="49"/>
    <n v="0"/>
  </r>
  <r>
    <n v="31"/>
    <n v="11"/>
    <n v="4"/>
    <s v="Участник"/>
    <x v="2"/>
    <x v="1"/>
    <n v="5.7142857142857144"/>
    <n v="49"/>
    <n v="0"/>
  </r>
  <r>
    <n v="32"/>
    <n v="11"/>
    <n v="3"/>
    <s v="Участник"/>
    <x v="2"/>
    <x v="1"/>
    <n v="4.2857142857142856"/>
    <n v="49"/>
    <n v="0"/>
  </r>
  <r>
    <n v="33"/>
    <n v="11"/>
    <n v="1"/>
    <s v="Участник"/>
    <x v="2"/>
    <x v="1"/>
    <n v="1.428571428571429"/>
    <n v="49"/>
    <n v="0"/>
  </r>
  <r>
    <n v="34"/>
    <n v="11"/>
    <n v="0"/>
    <s v="Участник"/>
    <x v="2"/>
    <x v="1"/>
    <n v="0"/>
    <n v="49"/>
    <n v="0"/>
  </r>
  <r>
    <n v="35"/>
    <n v="11"/>
    <n v="0"/>
    <s v="Участник"/>
    <x v="2"/>
    <x v="1"/>
    <n v="0"/>
    <n v="49"/>
    <n v="0"/>
  </r>
  <r>
    <n v="36"/>
    <n v="11"/>
    <n v="0"/>
    <s v="Участник"/>
    <x v="2"/>
    <x v="1"/>
    <n v="0"/>
    <n v="49"/>
    <n v="0"/>
  </r>
  <r>
    <n v="1"/>
    <n v="9"/>
    <n v="49"/>
    <s v="Победитель"/>
    <x v="2"/>
    <x v="2"/>
    <n v="70"/>
    <n v="51"/>
    <n v="0"/>
  </r>
  <r>
    <n v="2"/>
    <n v="9"/>
    <n v="48"/>
    <s v="Победитель"/>
    <x v="2"/>
    <x v="2"/>
    <n v="68.571428571428569"/>
    <n v="51"/>
    <n v="0"/>
  </r>
  <r>
    <n v="3"/>
    <n v="9"/>
    <n v="35"/>
    <s v="Призёр"/>
    <x v="2"/>
    <x v="2"/>
    <n v="50"/>
    <n v="51"/>
    <n v="0"/>
  </r>
  <r>
    <n v="4"/>
    <n v="9"/>
    <n v="35"/>
    <s v="Призёр"/>
    <x v="2"/>
    <x v="2"/>
    <n v="50"/>
    <n v="51"/>
    <n v="0"/>
  </r>
  <r>
    <n v="5"/>
    <n v="9"/>
    <n v="29"/>
    <s v="Призёр"/>
    <x v="2"/>
    <x v="2"/>
    <n v="41.428571428571431"/>
    <n v="51"/>
    <n v="0"/>
  </r>
  <r>
    <n v="6"/>
    <n v="9"/>
    <n v="28"/>
    <s v="Призёр"/>
    <x v="2"/>
    <x v="2"/>
    <n v="40"/>
    <n v="51"/>
    <n v="0"/>
  </r>
  <r>
    <n v="7"/>
    <n v="9"/>
    <n v="26"/>
    <s v="Призёр"/>
    <x v="2"/>
    <x v="2"/>
    <n v="37.142857142857153"/>
    <n v="51"/>
    <n v="0"/>
  </r>
  <r>
    <n v="8"/>
    <n v="9"/>
    <n v="23"/>
    <s v="Участник"/>
    <x v="2"/>
    <x v="2"/>
    <n v="32.857142857142847"/>
    <n v="51"/>
    <n v="0"/>
  </r>
  <r>
    <n v="9"/>
    <n v="9"/>
    <n v="23"/>
    <s v="Участник"/>
    <x v="2"/>
    <x v="2"/>
    <n v="32.857142857142847"/>
    <n v="51"/>
    <n v="0"/>
  </r>
  <r>
    <n v="10"/>
    <n v="9"/>
    <n v="22"/>
    <s v="Участник"/>
    <x v="2"/>
    <x v="2"/>
    <n v="31.428571428571431"/>
    <n v="51"/>
    <n v="0"/>
  </r>
  <r>
    <n v="11"/>
    <n v="9"/>
    <n v="21"/>
    <s v="Участник"/>
    <x v="2"/>
    <x v="2"/>
    <n v="30"/>
    <n v="51"/>
    <n v="0"/>
  </r>
  <r>
    <n v="12"/>
    <n v="9"/>
    <n v="20"/>
    <s v="Участник"/>
    <x v="2"/>
    <x v="2"/>
    <n v="28.571428571428569"/>
    <n v="51"/>
    <n v="0"/>
  </r>
  <r>
    <n v="13"/>
    <n v="9"/>
    <n v="17"/>
    <s v="Участник"/>
    <x v="2"/>
    <x v="2"/>
    <n v="24.285714285714281"/>
    <n v="51"/>
    <n v="0"/>
  </r>
  <r>
    <n v="14"/>
    <n v="9"/>
    <n v="14"/>
    <s v="Участник"/>
    <x v="2"/>
    <x v="2"/>
    <n v="20"/>
    <n v="51"/>
    <n v="0"/>
  </r>
  <r>
    <n v="15"/>
    <n v="9"/>
    <n v="8"/>
    <s v="Участник"/>
    <x v="2"/>
    <x v="2"/>
    <n v="11.428571428571431"/>
    <n v="51"/>
    <n v="0"/>
  </r>
  <r>
    <n v="16"/>
    <n v="9"/>
    <n v="7"/>
    <s v="Участник"/>
    <x v="2"/>
    <x v="2"/>
    <n v="10"/>
    <n v="51"/>
    <n v="0"/>
  </r>
  <r>
    <n v="17"/>
    <n v="9"/>
    <n v="7"/>
    <s v="Участник"/>
    <x v="2"/>
    <x v="2"/>
    <n v="10"/>
    <n v="51"/>
    <n v="0"/>
  </r>
  <r>
    <n v="18"/>
    <n v="9"/>
    <n v="6"/>
    <s v="Участник"/>
    <x v="2"/>
    <x v="2"/>
    <n v="8.5714285714285712"/>
    <n v="51"/>
    <n v="0"/>
  </r>
  <r>
    <n v="19"/>
    <n v="9"/>
    <n v="5"/>
    <s v="Участник"/>
    <x v="2"/>
    <x v="2"/>
    <n v="7.1428571428571423"/>
    <n v="51"/>
    <n v="0"/>
  </r>
  <r>
    <n v="20"/>
    <n v="9"/>
    <n v="4"/>
    <s v="Участник"/>
    <x v="2"/>
    <x v="2"/>
    <n v="5.7142857142857144"/>
    <n v="51"/>
    <n v="0"/>
  </r>
  <r>
    <n v="21"/>
    <n v="9"/>
    <n v="2"/>
    <s v="Участник"/>
    <x v="2"/>
    <x v="2"/>
    <n v="2.8571428571428572"/>
    <n v="51"/>
    <n v="0"/>
  </r>
  <r>
    <n v="22"/>
    <n v="9"/>
    <n v="1"/>
    <s v="Участник"/>
    <x v="2"/>
    <x v="2"/>
    <n v="1.428571428571429"/>
    <n v="51"/>
    <n v="0"/>
  </r>
  <r>
    <n v="23"/>
    <n v="9"/>
    <n v="1"/>
    <s v="Участник"/>
    <x v="2"/>
    <x v="2"/>
    <n v="1.428571428571429"/>
    <n v="51"/>
    <n v="0"/>
  </r>
  <r>
    <n v="24"/>
    <n v="9"/>
    <n v="0"/>
    <s v="Участник"/>
    <x v="2"/>
    <x v="2"/>
    <n v="0"/>
    <n v="51"/>
    <n v="0"/>
  </r>
  <r>
    <n v="25"/>
    <n v="9"/>
    <n v="0"/>
    <s v="Участник"/>
    <x v="2"/>
    <x v="2"/>
    <n v="0"/>
    <n v="51"/>
    <n v="0"/>
  </r>
  <r>
    <n v="26"/>
    <n v="9"/>
    <n v="0"/>
    <s v="Участник"/>
    <x v="2"/>
    <x v="2"/>
    <n v="0"/>
    <n v="51"/>
    <n v="0"/>
  </r>
  <r>
    <n v="27"/>
    <n v="9"/>
    <n v="0"/>
    <s v="Участник"/>
    <x v="2"/>
    <x v="2"/>
    <n v="0"/>
    <n v="51"/>
    <n v="0"/>
  </r>
  <r>
    <n v="28"/>
    <n v="9"/>
    <n v="0"/>
    <s v="Участник"/>
    <x v="2"/>
    <x v="2"/>
    <n v="0"/>
    <n v="51"/>
    <n v="0"/>
  </r>
  <r>
    <n v="29"/>
    <n v="9"/>
    <n v="0"/>
    <s v="Участник"/>
    <x v="2"/>
    <x v="2"/>
    <n v="0"/>
    <n v="51"/>
    <n v="0"/>
  </r>
  <r>
    <n v="30"/>
    <n v="9"/>
    <n v="0"/>
    <s v="Участник"/>
    <x v="2"/>
    <x v="2"/>
    <n v="0"/>
    <n v="51"/>
    <n v="0"/>
  </r>
  <r>
    <n v="31"/>
    <n v="9"/>
    <n v="0"/>
    <s v="Участник"/>
    <x v="2"/>
    <x v="2"/>
    <n v="0"/>
    <n v="51"/>
    <n v="0"/>
  </r>
  <r>
    <n v="32"/>
    <n v="9"/>
    <n v="0"/>
    <s v="Участник"/>
    <x v="2"/>
    <x v="2"/>
    <n v="0"/>
    <n v="51"/>
    <n v="0"/>
  </r>
  <r>
    <n v="33"/>
    <n v="9"/>
    <n v="0"/>
    <s v="Участник"/>
    <x v="2"/>
    <x v="2"/>
    <n v="0"/>
    <n v="51"/>
    <n v="0"/>
  </r>
  <r>
    <n v="34"/>
    <n v="9"/>
    <n v="0"/>
    <s v="Участник"/>
    <x v="2"/>
    <x v="2"/>
    <n v="0"/>
    <n v="51"/>
    <n v="0"/>
  </r>
  <r>
    <n v="1"/>
    <n v="10"/>
    <n v="56"/>
    <s v="Победитель"/>
    <x v="2"/>
    <x v="2"/>
    <n v="80"/>
    <n v="50"/>
    <n v="1"/>
  </r>
  <r>
    <n v="2"/>
    <n v="10"/>
    <n v="44"/>
    <s v="Победитель"/>
    <x v="2"/>
    <x v="2"/>
    <n v="62.857142857142847"/>
    <n v="50"/>
    <n v="0"/>
  </r>
  <r>
    <n v="3"/>
    <n v="10"/>
    <n v="43"/>
    <s v="Призёр"/>
    <x v="2"/>
    <x v="2"/>
    <n v="61.428571428571431"/>
    <n v="50"/>
    <n v="0"/>
  </r>
  <r>
    <n v="4"/>
    <n v="10"/>
    <n v="38"/>
    <s v="Призёр"/>
    <x v="2"/>
    <x v="2"/>
    <n v="54.285714285714278"/>
    <n v="50"/>
    <n v="0"/>
  </r>
  <r>
    <n v="5"/>
    <n v="10"/>
    <n v="36"/>
    <s v="Призёр"/>
    <x v="2"/>
    <x v="2"/>
    <n v="51.428571428571423"/>
    <n v="50"/>
    <n v="0"/>
  </r>
  <r>
    <n v="6"/>
    <n v="10"/>
    <n v="35"/>
    <s v="Призёр"/>
    <x v="2"/>
    <x v="2"/>
    <n v="50"/>
    <n v="50"/>
    <n v="0"/>
  </r>
  <r>
    <n v="7"/>
    <n v="10"/>
    <n v="35"/>
    <s v="Призёр"/>
    <x v="2"/>
    <x v="2"/>
    <n v="50"/>
    <n v="50"/>
    <n v="0"/>
  </r>
  <r>
    <n v="8"/>
    <n v="10"/>
    <n v="34"/>
    <s v="Призёр"/>
    <x v="2"/>
    <x v="2"/>
    <n v="48.571428571428569"/>
    <n v="50"/>
    <n v="0"/>
  </r>
  <r>
    <n v="9"/>
    <n v="10"/>
    <n v="33"/>
    <s v="Призёр"/>
    <x v="2"/>
    <x v="2"/>
    <n v="47.142857142857139"/>
    <n v="50"/>
    <n v="0"/>
  </r>
  <r>
    <n v="10"/>
    <n v="10"/>
    <n v="32"/>
    <s v="Призёр"/>
    <x v="2"/>
    <x v="2"/>
    <n v="45.714285714285722"/>
    <n v="50"/>
    <n v="0"/>
  </r>
  <r>
    <n v="11"/>
    <n v="10"/>
    <n v="32"/>
    <s v="Призёр"/>
    <x v="2"/>
    <x v="2"/>
    <n v="45.714285714285722"/>
    <n v="50"/>
    <n v="0"/>
  </r>
  <r>
    <n v="12"/>
    <n v="10"/>
    <n v="30"/>
    <s v="Призёр"/>
    <x v="2"/>
    <x v="2"/>
    <n v="42.857142857142847"/>
    <n v="50"/>
    <n v="0"/>
  </r>
  <r>
    <n v="13"/>
    <n v="10"/>
    <n v="30"/>
    <s v="Призёр"/>
    <x v="2"/>
    <x v="2"/>
    <n v="42.857142857142847"/>
    <n v="50"/>
    <n v="0"/>
  </r>
  <r>
    <n v="14"/>
    <n v="10"/>
    <n v="28"/>
    <s v="Участник"/>
    <x v="2"/>
    <x v="2"/>
    <n v="40"/>
    <n v="50"/>
    <n v="0"/>
  </r>
  <r>
    <n v="15"/>
    <n v="10"/>
    <n v="25"/>
    <s v="Участник"/>
    <x v="2"/>
    <x v="2"/>
    <n v="35.714285714285722"/>
    <n v="50"/>
    <n v="0"/>
  </r>
  <r>
    <n v="16"/>
    <n v="10"/>
    <n v="22"/>
    <s v="Участник"/>
    <x v="2"/>
    <x v="2"/>
    <n v="31.428571428571431"/>
    <n v="50"/>
    <n v="0"/>
  </r>
  <r>
    <n v="17"/>
    <n v="10"/>
    <n v="22"/>
    <s v="Участник"/>
    <x v="2"/>
    <x v="2"/>
    <n v="31.428571428571431"/>
    <n v="50"/>
    <n v="0"/>
  </r>
  <r>
    <n v="18"/>
    <n v="10"/>
    <n v="21"/>
    <s v="Участник"/>
    <x v="2"/>
    <x v="2"/>
    <n v="30"/>
    <n v="50"/>
    <n v="0"/>
  </r>
  <r>
    <n v="19"/>
    <n v="10"/>
    <n v="21"/>
    <s v="Участник"/>
    <x v="2"/>
    <x v="2"/>
    <n v="30"/>
    <n v="50"/>
    <n v="0"/>
  </r>
  <r>
    <n v="20"/>
    <n v="10"/>
    <n v="21"/>
    <s v="Участник"/>
    <x v="2"/>
    <x v="2"/>
    <n v="30"/>
    <n v="50"/>
    <n v="0"/>
  </r>
  <r>
    <n v="21"/>
    <n v="10"/>
    <n v="21"/>
    <s v="Участник"/>
    <x v="2"/>
    <x v="2"/>
    <n v="30"/>
    <n v="50"/>
    <n v="0"/>
  </r>
  <r>
    <n v="22"/>
    <n v="10"/>
    <n v="21"/>
    <s v="Участник"/>
    <x v="2"/>
    <x v="2"/>
    <n v="30"/>
    <n v="50"/>
    <n v="0"/>
  </r>
  <r>
    <n v="23"/>
    <n v="10"/>
    <n v="21"/>
    <s v="Участник"/>
    <x v="2"/>
    <x v="2"/>
    <n v="30"/>
    <n v="50"/>
    <n v="0"/>
  </r>
  <r>
    <n v="24"/>
    <n v="10"/>
    <n v="20"/>
    <s v="Участник"/>
    <x v="2"/>
    <x v="2"/>
    <n v="28.571428571428569"/>
    <n v="50"/>
    <n v="0"/>
  </r>
  <r>
    <n v="25"/>
    <n v="10"/>
    <n v="19"/>
    <s v="Участник"/>
    <x v="2"/>
    <x v="2"/>
    <n v="27.142857142857139"/>
    <n v="50"/>
    <n v="0"/>
  </r>
  <r>
    <n v="26"/>
    <n v="10"/>
    <n v="19"/>
    <s v="Участник"/>
    <x v="2"/>
    <x v="2"/>
    <n v="27.142857142857139"/>
    <n v="50"/>
    <n v="0"/>
  </r>
  <r>
    <n v="27"/>
    <n v="10"/>
    <n v="17"/>
    <s v="Участник"/>
    <x v="2"/>
    <x v="2"/>
    <n v="24.285714285714281"/>
    <n v="50"/>
    <n v="0"/>
  </r>
  <r>
    <n v="28"/>
    <n v="10"/>
    <n v="16"/>
    <s v="Участник"/>
    <x v="2"/>
    <x v="2"/>
    <n v="22.857142857142861"/>
    <n v="50"/>
    <n v="0"/>
  </r>
  <r>
    <n v="29"/>
    <n v="10"/>
    <n v="15"/>
    <s v="Участник"/>
    <x v="2"/>
    <x v="2"/>
    <n v="21.428571428571431"/>
    <n v="50"/>
    <n v="0"/>
  </r>
  <r>
    <n v="30"/>
    <n v="10"/>
    <n v="14"/>
    <s v="Участник"/>
    <x v="2"/>
    <x v="2"/>
    <n v="20"/>
    <n v="50"/>
    <n v="0"/>
  </r>
  <r>
    <n v="31"/>
    <n v="10"/>
    <n v="14"/>
    <s v="Участник"/>
    <x v="2"/>
    <x v="2"/>
    <n v="20"/>
    <n v="50"/>
    <n v="0"/>
  </r>
  <r>
    <n v="32"/>
    <n v="10"/>
    <n v="13"/>
    <s v="Участник"/>
    <x v="2"/>
    <x v="2"/>
    <n v="18.571428571428569"/>
    <n v="50"/>
    <n v="0"/>
  </r>
  <r>
    <n v="33"/>
    <n v="10"/>
    <n v="13"/>
    <s v="Участник"/>
    <x v="2"/>
    <x v="2"/>
    <n v="18.571428571428569"/>
    <n v="50"/>
    <n v="0"/>
  </r>
  <r>
    <n v="34"/>
    <n v="10"/>
    <n v="11"/>
    <s v="Участник"/>
    <x v="2"/>
    <x v="2"/>
    <n v="15.71428571428571"/>
    <n v="50"/>
    <n v="0"/>
  </r>
  <r>
    <n v="35"/>
    <n v="10"/>
    <n v="11"/>
    <s v="Участник"/>
    <x v="2"/>
    <x v="2"/>
    <n v="15.71428571428571"/>
    <n v="50"/>
    <n v="0"/>
  </r>
  <r>
    <n v="36"/>
    <n v="10"/>
    <n v="10"/>
    <s v="Участник"/>
    <x v="2"/>
    <x v="2"/>
    <n v="14.285714285714279"/>
    <n v="50"/>
    <n v="0"/>
  </r>
  <r>
    <n v="37"/>
    <n v="10"/>
    <n v="8"/>
    <s v="Участник"/>
    <x v="2"/>
    <x v="2"/>
    <n v="11.428571428571431"/>
    <n v="50"/>
    <n v="0"/>
  </r>
  <r>
    <n v="38"/>
    <n v="10"/>
    <n v="7"/>
    <s v="Участник"/>
    <x v="2"/>
    <x v="2"/>
    <n v="10"/>
    <n v="50"/>
    <n v="0"/>
  </r>
  <r>
    <n v="39"/>
    <n v="10"/>
    <n v="7"/>
    <s v="Участник"/>
    <x v="2"/>
    <x v="2"/>
    <n v="10"/>
    <n v="50"/>
    <n v="0"/>
  </r>
  <r>
    <n v="40"/>
    <n v="10"/>
    <n v="7"/>
    <s v="Участник"/>
    <x v="2"/>
    <x v="2"/>
    <n v="10"/>
    <n v="50"/>
    <n v="0"/>
  </r>
  <r>
    <n v="41"/>
    <n v="10"/>
    <n v="7"/>
    <s v="Участник"/>
    <x v="2"/>
    <x v="2"/>
    <n v="10"/>
    <n v="50"/>
    <n v="0"/>
  </r>
  <r>
    <n v="42"/>
    <n v="10"/>
    <n v="7"/>
    <s v="Участник"/>
    <x v="2"/>
    <x v="2"/>
    <n v="10"/>
    <n v="50"/>
    <n v="0"/>
  </r>
  <r>
    <n v="43"/>
    <n v="10"/>
    <n v="3"/>
    <s v="Участник"/>
    <x v="2"/>
    <x v="2"/>
    <n v="4.2857142857142856"/>
    <n v="50"/>
    <n v="0"/>
  </r>
  <r>
    <n v="1"/>
    <n v="11"/>
    <n v="54"/>
    <s v="Победитель"/>
    <x v="2"/>
    <x v="2"/>
    <n v="77.142857142857153"/>
    <n v="51"/>
    <n v="1"/>
  </r>
  <r>
    <n v="2"/>
    <n v="11"/>
    <n v="51"/>
    <s v="Победитель"/>
    <x v="2"/>
    <x v="2"/>
    <n v="72.857142857142847"/>
    <n v="51"/>
    <n v="1"/>
  </r>
  <r>
    <n v="3"/>
    <n v="11"/>
    <n v="42"/>
    <s v="Призёр"/>
    <x v="2"/>
    <x v="2"/>
    <n v="60"/>
    <n v="51"/>
    <n v="0"/>
  </r>
  <r>
    <n v="4"/>
    <n v="11"/>
    <n v="42"/>
    <s v="Призёр"/>
    <x v="2"/>
    <x v="2"/>
    <n v="60"/>
    <n v="51"/>
    <n v="0"/>
  </r>
  <r>
    <n v="5"/>
    <n v="11"/>
    <n v="40"/>
    <s v="Призёр"/>
    <x v="2"/>
    <x v="2"/>
    <n v="57.142857142857139"/>
    <n v="51"/>
    <n v="0"/>
  </r>
  <r>
    <n v="6"/>
    <n v="11"/>
    <n v="38"/>
    <s v="Призёр"/>
    <x v="2"/>
    <x v="2"/>
    <n v="54.285714285714278"/>
    <n v="51"/>
    <n v="0"/>
  </r>
  <r>
    <n v="7"/>
    <n v="11"/>
    <n v="38"/>
    <s v="Призёр"/>
    <x v="2"/>
    <x v="2"/>
    <n v="54.285714285714278"/>
    <n v="51"/>
    <n v="0"/>
  </r>
  <r>
    <n v="8"/>
    <n v="11"/>
    <n v="35"/>
    <s v="Призёр"/>
    <x v="2"/>
    <x v="2"/>
    <n v="50"/>
    <n v="51"/>
    <n v="0"/>
  </r>
  <r>
    <n v="9"/>
    <n v="11"/>
    <n v="34"/>
    <s v="Призёр"/>
    <x v="2"/>
    <x v="2"/>
    <n v="48.571428571428569"/>
    <n v="51"/>
    <n v="0"/>
  </r>
  <r>
    <n v="10"/>
    <n v="11"/>
    <n v="34"/>
    <s v="Призёр"/>
    <x v="2"/>
    <x v="2"/>
    <n v="48.571428571428569"/>
    <n v="51"/>
    <n v="0"/>
  </r>
  <r>
    <n v="11"/>
    <n v="11"/>
    <n v="33"/>
    <s v="Призёр"/>
    <x v="2"/>
    <x v="2"/>
    <n v="47.142857142857139"/>
    <n v="51"/>
    <n v="0"/>
  </r>
  <r>
    <n v="12"/>
    <n v="11"/>
    <n v="33"/>
    <s v="Призёр"/>
    <x v="2"/>
    <x v="2"/>
    <n v="47.142857142857139"/>
    <n v="51"/>
    <n v="0"/>
  </r>
  <r>
    <n v="13"/>
    <n v="11"/>
    <n v="33"/>
    <s v="Призёр"/>
    <x v="2"/>
    <x v="2"/>
    <n v="47.142857142857139"/>
    <n v="51"/>
    <n v="0"/>
  </r>
  <r>
    <n v="14"/>
    <n v="11"/>
    <n v="32"/>
    <s v="Призёр"/>
    <x v="2"/>
    <x v="2"/>
    <n v="45.714285714285722"/>
    <n v="51"/>
    <n v="0"/>
  </r>
  <r>
    <n v="15"/>
    <n v="11"/>
    <n v="32"/>
    <s v="Призёр"/>
    <x v="2"/>
    <x v="2"/>
    <n v="45.714285714285722"/>
    <n v="51"/>
    <n v="0"/>
  </r>
  <r>
    <n v="16"/>
    <n v="11"/>
    <n v="31"/>
    <s v="Призёр"/>
    <x v="2"/>
    <x v="2"/>
    <n v="44.285714285714278"/>
    <n v="51"/>
    <n v="0"/>
  </r>
  <r>
    <n v="17"/>
    <n v="11"/>
    <n v="31"/>
    <s v="Призёр"/>
    <x v="2"/>
    <x v="2"/>
    <n v="44.285714285714278"/>
    <n v="51"/>
    <n v="0"/>
  </r>
  <r>
    <n v="18"/>
    <n v="11"/>
    <n v="31"/>
    <s v="Призёр"/>
    <x v="2"/>
    <x v="2"/>
    <n v="44.285714285714278"/>
    <n v="51"/>
    <n v="0"/>
  </r>
  <r>
    <n v="19"/>
    <n v="11"/>
    <n v="30"/>
    <s v="Призёр"/>
    <x v="2"/>
    <x v="2"/>
    <n v="42.857142857142847"/>
    <n v="51"/>
    <n v="0"/>
  </r>
  <r>
    <n v="20"/>
    <n v="11"/>
    <n v="30"/>
    <s v="Призёр"/>
    <x v="2"/>
    <x v="2"/>
    <n v="42.857142857142847"/>
    <n v="51"/>
    <n v="0"/>
  </r>
  <r>
    <n v="21"/>
    <n v="11"/>
    <n v="28"/>
    <s v="Участник"/>
    <x v="2"/>
    <x v="2"/>
    <n v="40"/>
    <n v="51"/>
    <n v="0"/>
  </r>
  <r>
    <n v="22"/>
    <n v="11"/>
    <n v="26"/>
    <s v="Участник"/>
    <x v="2"/>
    <x v="2"/>
    <n v="37.142857142857153"/>
    <n v="51"/>
    <n v="0"/>
  </r>
  <r>
    <n v="23"/>
    <n v="11"/>
    <n v="26"/>
    <s v="Участник"/>
    <x v="2"/>
    <x v="2"/>
    <n v="37.142857142857153"/>
    <n v="51"/>
    <n v="0"/>
  </r>
  <r>
    <n v="24"/>
    <n v="11"/>
    <n v="25"/>
    <s v="Участник"/>
    <x v="2"/>
    <x v="2"/>
    <n v="35.714285714285722"/>
    <n v="51"/>
    <n v="0"/>
  </r>
  <r>
    <n v="25"/>
    <n v="11"/>
    <n v="25"/>
    <s v="Участник"/>
    <x v="2"/>
    <x v="2"/>
    <n v="35.714285714285722"/>
    <n v="51"/>
    <n v="0"/>
  </r>
  <r>
    <n v="26"/>
    <n v="11"/>
    <n v="23"/>
    <s v="Участник"/>
    <x v="2"/>
    <x v="2"/>
    <n v="32.857142857142847"/>
    <n v="51"/>
    <n v="0"/>
  </r>
  <r>
    <n v="27"/>
    <n v="11"/>
    <n v="22"/>
    <s v="Участник"/>
    <x v="2"/>
    <x v="2"/>
    <n v="31.428571428571431"/>
    <n v="51"/>
    <n v="0"/>
  </r>
  <r>
    <n v="28"/>
    <n v="11"/>
    <n v="22"/>
    <s v="Участник"/>
    <x v="2"/>
    <x v="2"/>
    <n v="31.428571428571431"/>
    <n v="51"/>
    <n v="0"/>
  </r>
  <r>
    <n v="29"/>
    <n v="11"/>
    <n v="22"/>
    <s v="Участник"/>
    <x v="2"/>
    <x v="2"/>
    <n v="31.428571428571431"/>
    <n v="51"/>
    <n v="0"/>
  </r>
  <r>
    <n v="30"/>
    <n v="11"/>
    <n v="22"/>
    <s v="Участник"/>
    <x v="2"/>
    <x v="2"/>
    <n v="31.428571428571431"/>
    <n v="51"/>
    <n v="0"/>
  </r>
  <r>
    <n v="31"/>
    <n v="11"/>
    <n v="21"/>
    <s v="Участник"/>
    <x v="2"/>
    <x v="2"/>
    <n v="30"/>
    <n v="51"/>
    <n v="0"/>
  </r>
  <r>
    <n v="32"/>
    <n v="11"/>
    <n v="19"/>
    <s v="Участник"/>
    <x v="2"/>
    <x v="2"/>
    <n v="27.142857142857139"/>
    <n v="51"/>
    <n v="0"/>
  </r>
  <r>
    <n v="33"/>
    <n v="11"/>
    <n v="17"/>
    <s v="Участник"/>
    <x v="2"/>
    <x v="2"/>
    <n v="24.285714285714281"/>
    <n v="51"/>
    <n v="0"/>
  </r>
  <r>
    <n v="34"/>
    <n v="11"/>
    <n v="16"/>
    <s v="Участник"/>
    <x v="2"/>
    <x v="2"/>
    <n v="22.857142857142861"/>
    <n v="51"/>
    <n v="0"/>
  </r>
  <r>
    <n v="35"/>
    <n v="11"/>
    <n v="16"/>
    <s v="Участник"/>
    <x v="2"/>
    <x v="2"/>
    <n v="22.857142857142861"/>
    <n v="51"/>
    <n v="0"/>
  </r>
  <r>
    <n v="36"/>
    <n v="11"/>
    <n v="16"/>
    <s v="Участник"/>
    <x v="2"/>
    <x v="2"/>
    <n v="22.857142857142861"/>
    <n v="51"/>
    <n v="0"/>
  </r>
  <r>
    <n v="37"/>
    <n v="11"/>
    <n v="15"/>
    <s v="Участник"/>
    <x v="2"/>
    <x v="2"/>
    <n v="21.428571428571431"/>
    <n v="51"/>
    <n v="0"/>
  </r>
  <r>
    <n v="38"/>
    <n v="11"/>
    <n v="14"/>
    <s v="Участник"/>
    <x v="2"/>
    <x v="2"/>
    <n v="20"/>
    <n v="51"/>
    <n v="0"/>
  </r>
  <r>
    <n v="39"/>
    <n v="11"/>
    <n v="14"/>
    <s v="Участник"/>
    <x v="2"/>
    <x v="2"/>
    <n v="20"/>
    <n v="51"/>
    <n v="0"/>
  </r>
  <r>
    <n v="40"/>
    <n v="11"/>
    <n v="7"/>
    <s v="Участник"/>
    <x v="2"/>
    <x v="2"/>
    <n v="10"/>
    <n v="51"/>
    <n v="0"/>
  </r>
  <r>
    <n v="41"/>
    <n v="11"/>
    <n v="4"/>
    <s v="Участник"/>
    <x v="2"/>
    <x v="2"/>
    <n v="5.7142857142857144"/>
    <n v="51"/>
    <n v="0"/>
  </r>
  <r>
    <n v="42"/>
    <n v="11"/>
    <n v="0"/>
    <s v="Участник"/>
    <x v="2"/>
    <x v="2"/>
    <n v="0"/>
    <n v="51"/>
    <n v="0"/>
  </r>
  <r>
    <n v="1"/>
    <n v="9"/>
    <n v="48"/>
    <s v="Победитель"/>
    <x v="2"/>
    <x v="3"/>
    <n v="68.571428571428569"/>
    <n v="50"/>
    <n v="0"/>
  </r>
  <r>
    <n v="2"/>
    <n v="9"/>
    <n v="43"/>
    <s v="Призёр"/>
    <x v="2"/>
    <x v="3"/>
    <n v="61.428571428571431"/>
    <n v="50"/>
    <n v="0"/>
  </r>
  <r>
    <n v="3"/>
    <n v="9"/>
    <n v="42"/>
    <s v="Призёр"/>
    <x v="2"/>
    <x v="3"/>
    <n v="60"/>
    <n v="50"/>
    <n v="0"/>
  </r>
  <r>
    <n v="4"/>
    <n v="9"/>
    <n v="41"/>
    <s v="Призёр"/>
    <x v="2"/>
    <x v="3"/>
    <n v="58.571428571428577"/>
    <n v="50"/>
    <n v="0"/>
  </r>
  <r>
    <n v="5"/>
    <n v="9"/>
    <n v="36"/>
    <s v="Призёр"/>
    <x v="2"/>
    <x v="3"/>
    <n v="51.428571428571423"/>
    <n v="50"/>
    <n v="0"/>
  </r>
  <r>
    <n v="6"/>
    <n v="9"/>
    <n v="35"/>
    <s v="Призёр"/>
    <x v="2"/>
    <x v="3"/>
    <n v="50"/>
    <n v="50"/>
    <n v="0"/>
  </r>
  <r>
    <n v="7"/>
    <n v="9"/>
    <n v="33"/>
    <s v="Призёр"/>
    <x v="2"/>
    <x v="3"/>
    <n v="47.142857142857139"/>
    <n v="50"/>
    <n v="0"/>
  </r>
  <r>
    <n v="8"/>
    <n v="9"/>
    <n v="33"/>
    <s v="Прнзёр"/>
    <x v="2"/>
    <x v="3"/>
    <n v="47.142857142857139"/>
    <n v="50"/>
    <n v="0"/>
  </r>
  <r>
    <n v="9"/>
    <n v="9"/>
    <n v="27"/>
    <s v="Призёр"/>
    <x v="2"/>
    <x v="3"/>
    <n v="38.571428571428577"/>
    <n v="50"/>
    <n v="0"/>
  </r>
  <r>
    <n v="10"/>
    <n v="9"/>
    <n v="27"/>
    <s v="Призёр"/>
    <x v="2"/>
    <x v="3"/>
    <n v="38.571428571428577"/>
    <n v="50"/>
    <n v="0"/>
  </r>
  <r>
    <n v="11"/>
    <n v="9"/>
    <n v="24"/>
    <s v="Призёр"/>
    <x v="2"/>
    <x v="3"/>
    <n v="34.285714285714278"/>
    <n v="50"/>
    <n v="0"/>
  </r>
  <r>
    <n v="12"/>
    <n v="9"/>
    <n v="23"/>
    <s v="Призёр"/>
    <x v="2"/>
    <x v="3"/>
    <n v="32.857142857142847"/>
    <n v="50"/>
    <n v="0"/>
  </r>
  <r>
    <n v="13"/>
    <n v="9"/>
    <n v="23"/>
    <s v="Призёр"/>
    <x v="2"/>
    <x v="3"/>
    <n v="32.857142857142847"/>
    <n v="50"/>
    <n v="0"/>
  </r>
  <r>
    <n v="14"/>
    <n v="9"/>
    <n v="23"/>
    <s v="Призёр"/>
    <x v="2"/>
    <x v="3"/>
    <n v="32.857142857142847"/>
    <n v="50"/>
    <n v="0"/>
  </r>
  <r>
    <n v="15"/>
    <n v="9"/>
    <n v="20"/>
    <s v="Призёр"/>
    <x v="2"/>
    <x v="3"/>
    <n v="28.571428571428569"/>
    <n v="50"/>
    <n v="0"/>
  </r>
  <r>
    <n v="16"/>
    <n v="9"/>
    <n v="20"/>
    <s v="Призёр"/>
    <x v="2"/>
    <x v="3"/>
    <n v="28.571428571428569"/>
    <n v="50"/>
    <n v="0"/>
  </r>
  <r>
    <n v="17"/>
    <n v="9"/>
    <n v="20"/>
    <s v="Призёр"/>
    <x v="2"/>
    <x v="3"/>
    <n v="28.571428571428569"/>
    <n v="50"/>
    <n v="0"/>
  </r>
  <r>
    <n v="18"/>
    <n v="9"/>
    <n v="19"/>
    <s v="Участник"/>
    <x v="2"/>
    <x v="3"/>
    <n v="27.142857142857139"/>
    <n v="50"/>
    <n v="0"/>
  </r>
  <r>
    <n v="19"/>
    <n v="9"/>
    <n v="19"/>
    <s v="Участник"/>
    <x v="2"/>
    <x v="3"/>
    <n v="27.142857142857139"/>
    <n v="50"/>
    <n v="0"/>
  </r>
  <r>
    <n v="20"/>
    <n v="9"/>
    <n v="19"/>
    <s v="Участник"/>
    <x v="2"/>
    <x v="3"/>
    <n v="27.142857142857139"/>
    <n v="50"/>
    <n v="0"/>
  </r>
  <r>
    <n v="21"/>
    <n v="9"/>
    <n v="18"/>
    <s v="Участник"/>
    <x v="2"/>
    <x v="3"/>
    <n v="25.714285714285712"/>
    <n v="50"/>
    <n v="0"/>
  </r>
  <r>
    <n v="22"/>
    <n v="9"/>
    <n v="18"/>
    <s v="Участник"/>
    <x v="2"/>
    <x v="3"/>
    <n v="25.714285714285712"/>
    <n v="50"/>
    <n v="0"/>
  </r>
  <r>
    <n v="23"/>
    <n v="9"/>
    <n v="17"/>
    <s v="Участник"/>
    <x v="2"/>
    <x v="3"/>
    <n v="24.285714285714281"/>
    <n v="50"/>
    <n v="0"/>
  </r>
  <r>
    <n v="24"/>
    <n v="9"/>
    <n v="16"/>
    <s v="Участник"/>
    <x v="2"/>
    <x v="3"/>
    <n v="22.857142857142861"/>
    <n v="50"/>
    <n v="0"/>
  </r>
  <r>
    <n v="25"/>
    <n v="9"/>
    <n v="16"/>
    <s v="Участник"/>
    <x v="2"/>
    <x v="3"/>
    <n v="22.857142857142861"/>
    <n v="50"/>
    <n v="0"/>
  </r>
  <r>
    <n v="26"/>
    <n v="9"/>
    <n v="15"/>
    <s v="Участник"/>
    <x v="2"/>
    <x v="3"/>
    <n v="21.428571428571431"/>
    <n v="50"/>
    <n v="0"/>
  </r>
  <r>
    <n v="27"/>
    <n v="9"/>
    <n v="15"/>
    <s v="Участник"/>
    <x v="2"/>
    <x v="3"/>
    <n v="21.428571428571431"/>
    <n v="50"/>
    <n v="0"/>
  </r>
  <r>
    <n v="28"/>
    <n v="9"/>
    <n v="14"/>
    <s v="Участник"/>
    <x v="2"/>
    <x v="3"/>
    <n v="20"/>
    <n v="50"/>
    <n v="0"/>
  </r>
  <r>
    <n v="29"/>
    <n v="9"/>
    <n v="13"/>
    <s v="Участник"/>
    <x v="2"/>
    <x v="3"/>
    <n v="18.571428571428569"/>
    <n v="50"/>
    <n v="0"/>
  </r>
  <r>
    <n v="30"/>
    <n v="9"/>
    <n v="12"/>
    <s v="Участник"/>
    <x v="2"/>
    <x v="3"/>
    <n v="17.142857142857139"/>
    <n v="50"/>
    <n v="0"/>
  </r>
  <r>
    <n v="31"/>
    <n v="9"/>
    <n v="11"/>
    <s v="Участник"/>
    <x v="2"/>
    <x v="3"/>
    <n v="15.71428571428571"/>
    <n v="50"/>
    <n v="0"/>
  </r>
  <r>
    <n v="32"/>
    <n v="9"/>
    <n v="9"/>
    <s v="Участник"/>
    <x v="2"/>
    <x v="3"/>
    <n v="12.857142857142859"/>
    <n v="50"/>
    <n v="0"/>
  </r>
  <r>
    <n v="33"/>
    <n v="9"/>
    <n v="9"/>
    <s v="Участник"/>
    <x v="2"/>
    <x v="3"/>
    <n v="12.857142857142859"/>
    <n v="50"/>
    <n v="0"/>
  </r>
  <r>
    <n v="34"/>
    <n v="9"/>
    <n v="7"/>
    <s v="Участник"/>
    <x v="2"/>
    <x v="3"/>
    <n v="10"/>
    <n v="50"/>
    <n v="0"/>
  </r>
  <r>
    <n v="35"/>
    <n v="9"/>
    <n v="1"/>
    <s v="Участник"/>
    <x v="2"/>
    <x v="3"/>
    <n v="1.428571428571429"/>
    <n v="50"/>
    <n v="0"/>
  </r>
  <r>
    <n v="36"/>
    <n v="9"/>
    <n v="0"/>
    <s v="Участник"/>
    <x v="2"/>
    <x v="3"/>
    <n v="0"/>
    <n v="50"/>
    <n v="0"/>
  </r>
  <r>
    <n v="37"/>
    <n v="9"/>
    <n v="0"/>
    <s v="Участник"/>
    <x v="2"/>
    <x v="3"/>
    <n v="0"/>
    <n v="50"/>
    <n v="0"/>
  </r>
  <r>
    <n v="38"/>
    <n v="9"/>
    <n v="0"/>
    <s v="Участник"/>
    <x v="2"/>
    <x v="3"/>
    <n v="0"/>
    <n v="50"/>
    <n v="0"/>
  </r>
  <r>
    <n v="1"/>
    <n v="10"/>
    <n v="39"/>
    <s v="Победитель"/>
    <x v="2"/>
    <x v="3"/>
    <n v="55.714285714285722"/>
    <n v="46"/>
    <n v="0"/>
  </r>
  <r>
    <n v="2"/>
    <n v="10"/>
    <n v="37"/>
    <s v="Победитель"/>
    <x v="2"/>
    <x v="3"/>
    <n v="52.857142857142861"/>
    <n v="46"/>
    <n v="0"/>
  </r>
  <r>
    <n v="3"/>
    <n v="10"/>
    <n v="31"/>
    <s v="Призёр"/>
    <x v="2"/>
    <x v="3"/>
    <n v="44.285714285714278"/>
    <n v="46"/>
    <n v="0"/>
  </r>
  <r>
    <n v="4"/>
    <n v="10"/>
    <n v="28"/>
    <s v="Призёр"/>
    <x v="2"/>
    <x v="3"/>
    <n v="40"/>
    <n v="46"/>
    <n v="0"/>
  </r>
  <r>
    <n v="5"/>
    <n v="10"/>
    <n v="28"/>
    <s v="Призёр"/>
    <x v="2"/>
    <x v="3"/>
    <n v="40"/>
    <n v="46"/>
    <n v="0"/>
  </r>
  <r>
    <n v="6"/>
    <n v="10"/>
    <n v="28"/>
    <s v="Призёр"/>
    <x v="2"/>
    <x v="3"/>
    <n v="40"/>
    <n v="46"/>
    <n v="0"/>
  </r>
  <r>
    <n v="7"/>
    <n v="10"/>
    <n v="28"/>
    <s v="Призёр"/>
    <x v="2"/>
    <x v="3"/>
    <n v="40"/>
    <n v="46"/>
    <n v="0"/>
  </r>
  <r>
    <n v="8"/>
    <n v="10"/>
    <n v="26"/>
    <s v="Призёр"/>
    <x v="2"/>
    <x v="3"/>
    <n v="37.142857142857153"/>
    <n v="46"/>
    <n v="0"/>
  </r>
  <r>
    <n v="9"/>
    <n v="10"/>
    <n v="25"/>
    <s v="Призёр"/>
    <x v="2"/>
    <x v="3"/>
    <n v="35.714285714285722"/>
    <n v="46"/>
    <n v="0"/>
  </r>
  <r>
    <n v="10"/>
    <n v="10"/>
    <n v="25"/>
    <s v="Призёр"/>
    <x v="2"/>
    <x v="3"/>
    <n v="35.714285714285722"/>
    <n v="46"/>
    <n v="0"/>
  </r>
  <r>
    <n v="11"/>
    <n v="10"/>
    <n v="22"/>
    <s v="Призёр"/>
    <x v="2"/>
    <x v="3"/>
    <n v="31.428571428571431"/>
    <n v="46"/>
    <n v="0"/>
  </r>
  <r>
    <n v="12"/>
    <n v="10"/>
    <n v="22"/>
    <s v="Призёр"/>
    <x v="2"/>
    <x v="3"/>
    <n v="31.428571428571431"/>
    <n v="46"/>
    <n v="0"/>
  </r>
  <r>
    <n v="13"/>
    <n v="10"/>
    <n v="21"/>
    <s v="Призёр"/>
    <x v="2"/>
    <x v="3"/>
    <n v="30"/>
    <n v="46"/>
    <n v="0"/>
  </r>
  <r>
    <n v="14"/>
    <n v="10"/>
    <n v="20"/>
    <s v="Участник"/>
    <x v="2"/>
    <x v="3"/>
    <n v="28.571428571428569"/>
    <n v="46"/>
    <n v="0"/>
  </r>
  <r>
    <n v="15"/>
    <n v="10"/>
    <n v="17"/>
    <s v="Участник"/>
    <x v="2"/>
    <x v="3"/>
    <n v="24.285714285714281"/>
    <n v="46"/>
    <n v="0"/>
  </r>
  <r>
    <n v="16"/>
    <n v="10"/>
    <n v="16"/>
    <s v="Участник"/>
    <x v="2"/>
    <x v="3"/>
    <n v="22.857142857142861"/>
    <n v="46"/>
    <n v="0"/>
  </r>
  <r>
    <n v="17"/>
    <n v="10"/>
    <n v="15"/>
    <s v="Участник"/>
    <x v="2"/>
    <x v="3"/>
    <n v="21.428571428571431"/>
    <n v="46"/>
    <n v="0"/>
  </r>
  <r>
    <n v="18"/>
    <n v="10"/>
    <n v="15"/>
    <s v="Участник"/>
    <x v="2"/>
    <x v="3"/>
    <n v="21.428571428571431"/>
    <n v="46"/>
    <n v="0"/>
  </r>
  <r>
    <n v="19"/>
    <n v="10"/>
    <n v="13"/>
    <s v="Участник"/>
    <x v="2"/>
    <x v="3"/>
    <n v="18.571428571428569"/>
    <n v="46"/>
    <n v="0"/>
  </r>
  <r>
    <n v="20"/>
    <n v="10"/>
    <n v="12"/>
    <s v="Участник"/>
    <x v="2"/>
    <x v="3"/>
    <n v="17.142857142857139"/>
    <n v="46"/>
    <n v="0"/>
  </r>
  <r>
    <n v="21"/>
    <n v="10"/>
    <n v="10"/>
    <s v="Участник"/>
    <x v="2"/>
    <x v="3"/>
    <n v="14.285714285714279"/>
    <n v="46"/>
    <n v="0"/>
  </r>
  <r>
    <n v="22"/>
    <n v="10"/>
    <n v="9"/>
    <s v="Участник"/>
    <x v="2"/>
    <x v="3"/>
    <n v="12.857142857142859"/>
    <n v="46"/>
    <n v="0"/>
  </r>
  <r>
    <n v="23"/>
    <n v="10"/>
    <n v="8"/>
    <s v="Участник"/>
    <x v="2"/>
    <x v="3"/>
    <n v="11.428571428571431"/>
    <n v="46"/>
    <n v="0"/>
  </r>
  <r>
    <n v="24"/>
    <n v="10"/>
    <n v="8"/>
    <s v="Участник"/>
    <x v="2"/>
    <x v="3"/>
    <n v="11.428571428571431"/>
    <n v="46"/>
    <n v="0"/>
  </r>
  <r>
    <n v="25"/>
    <n v="10"/>
    <n v="8"/>
    <s v="Участник"/>
    <x v="2"/>
    <x v="3"/>
    <n v="11.428571428571431"/>
    <n v="46"/>
    <n v="0"/>
  </r>
  <r>
    <n v="26"/>
    <n v="10"/>
    <n v="7"/>
    <s v="Участник"/>
    <x v="2"/>
    <x v="3"/>
    <n v="10"/>
    <n v="46"/>
    <n v="0"/>
  </r>
  <r>
    <n v="27"/>
    <n v="10"/>
    <n v="6"/>
    <s v="Участник"/>
    <x v="2"/>
    <x v="3"/>
    <n v="8.5714285714285712"/>
    <n v="46"/>
    <n v="0"/>
  </r>
  <r>
    <n v="28"/>
    <n v="10"/>
    <n v="0"/>
    <s v="Участник"/>
    <x v="2"/>
    <x v="3"/>
    <n v="0"/>
    <n v="46"/>
    <n v="0"/>
  </r>
  <r>
    <n v="29"/>
    <n v="10"/>
    <n v="0"/>
    <s v="Участник"/>
    <x v="2"/>
    <x v="3"/>
    <n v="0"/>
    <n v="46"/>
    <n v="0"/>
  </r>
  <r>
    <n v="30"/>
    <n v="10"/>
    <n v="0"/>
    <s v="Участник"/>
    <x v="2"/>
    <x v="3"/>
    <n v="0"/>
    <n v="46"/>
    <n v="0"/>
  </r>
  <r>
    <n v="31"/>
    <n v="10"/>
    <n v="0"/>
    <s v="Участник"/>
    <x v="2"/>
    <x v="3"/>
    <n v="0"/>
    <n v="46"/>
    <n v="0"/>
  </r>
  <r>
    <n v="1"/>
    <n v="11"/>
    <n v="49"/>
    <s v="Победитель"/>
    <x v="2"/>
    <x v="3"/>
    <n v="70"/>
    <n v="43"/>
    <n v="1"/>
  </r>
  <r>
    <n v="2"/>
    <n v="11"/>
    <n v="35"/>
    <s v="Призёр"/>
    <x v="2"/>
    <x v="3"/>
    <n v="50"/>
    <n v="43"/>
    <n v="0"/>
  </r>
  <r>
    <n v="3"/>
    <n v="11"/>
    <n v="30"/>
    <s v="Призёр"/>
    <x v="2"/>
    <x v="3"/>
    <n v="42.857142857142847"/>
    <n v="43"/>
    <n v="0"/>
  </r>
  <r>
    <n v="4"/>
    <n v="11"/>
    <n v="29"/>
    <s v="Призёр"/>
    <x v="2"/>
    <x v="3"/>
    <n v="41.428571428571431"/>
    <n v="43"/>
    <n v="0"/>
  </r>
  <r>
    <n v="5"/>
    <n v="11"/>
    <n v="28"/>
    <s v="Призёр"/>
    <x v="2"/>
    <x v="3"/>
    <n v="40"/>
    <n v="43"/>
    <n v="0"/>
  </r>
  <r>
    <n v="6"/>
    <n v="11"/>
    <n v="28"/>
    <s v="Призёр"/>
    <x v="2"/>
    <x v="3"/>
    <n v="40"/>
    <n v="43"/>
    <n v="0"/>
  </r>
  <r>
    <n v="7"/>
    <n v="11"/>
    <n v="27"/>
    <s v="Призёр"/>
    <x v="2"/>
    <x v="3"/>
    <n v="38.571428571428577"/>
    <n v="43"/>
    <n v="0"/>
  </r>
  <r>
    <n v="8"/>
    <n v="11"/>
    <n v="27"/>
    <s v="Призёр"/>
    <x v="2"/>
    <x v="3"/>
    <n v="38.571428571428577"/>
    <n v="43"/>
    <n v="0"/>
  </r>
  <r>
    <n v="9"/>
    <n v="11"/>
    <n v="25"/>
    <s v="Призёр"/>
    <x v="2"/>
    <x v="3"/>
    <n v="35.714285714285722"/>
    <n v="43"/>
    <n v="0"/>
  </r>
  <r>
    <n v="10"/>
    <n v="11"/>
    <n v="25"/>
    <s v="Призёр"/>
    <x v="2"/>
    <x v="3"/>
    <n v="35.714285714285722"/>
    <n v="43"/>
    <n v="0"/>
  </r>
  <r>
    <n v="11"/>
    <n v="11"/>
    <n v="23"/>
    <s v="Призёр"/>
    <x v="2"/>
    <x v="3"/>
    <n v="32.857142857142847"/>
    <n v="43"/>
    <n v="0"/>
  </r>
  <r>
    <n v="12"/>
    <n v="11"/>
    <n v="23"/>
    <s v="Призёр"/>
    <x v="2"/>
    <x v="3"/>
    <n v="32.857142857142847"/>
    <n v="43"/>
    <n v="0"/>
  </r>
  <r>
    <n v="13"/>
    <n v="11"/>
    <n v="23"/>
    <s v="Призёр"/>
    <x v="2"/>
    <x v="3"/>
    <n v="32.857142857142847"/>
    <n v="43"/>
    <n v="0"/>
  </r>
  <r>
    <n v="14"/>
    <n v="11"/>
    <n v="23"/>
    <s v="Призёр"/>
    <x v="2"/>
    <x v="3"/>
    <n v="32.857142857142847"/>
    <n v="43"/>
    <n v="0"/>
  </r>
  <r>
    <n v="15"/>
    <n v="11"/>
    <n v="23"/>
    <s v="Призёр"/>
    <x v="2"/>
    <x v="3"/>
    <n v="32.857142857142847"/>
    <n v="43"/>
    <n v="0"/>
  </r>
  <r>
    <n v="16"/>
    <n v="11"/>
    <n v="22"/>
    <s v="Участник"/>
    <x v="2"/>
    <x v="3"/>
    <n v="31.428571428571431"/>
    <n v="43"/>
    <n v="0"/>
  </r>
  <r>
    <n v="17"/>
    <n v="11"/>
    <n v="22"/>
    <s v="Участник"/>
    <x v="2"/>
    <x v="3"/>
    <n v="31.428571428571431"/>
    <n v="43"/>
    <n v="0"/>
  </r>
  <r>
    <n v="18"/>
    <n v="11"/>
    <n v="21"/>
    <s v="Участник"/>
    <x v="2"/>
    <x v="3"/>
    <n v="30"/>
    <n v="43"/>
    <n v="0"/>
  </r>
  <r>
    <n v="19"/>
    <n v="11"/>
    <n v="21"/>
    <s v="Участник"/>
    <x v="2"/>
    <x v="3"/>
    <n v="30"/>
    <n v="43"/>
    <n v="0"/>
  </r>
  <r>
    <n v="20"/>
    <n v="11"/>
    <n v="21"/>
    <s v="Участник"/>
    <x v="2"/>
    <x v="3"/>
    <n v="30"/>
    <n v="43"/>
    <n v="0"/>
  </r>
  <r>
    <n v="21"/>
    <n v="11"/>
    <n v="21"/>
    <s v="Участник"/>
    <x v="2"/>
    <x v="3"/>
    <n v="30"/>
    <n v="43"/>
    <n v="0"/>
  </r>
  <r>
    <n v="22"/>
    <n v="11"/>
    <n v="17"/>
    <s v="Участник"/>
    <x v="2"/>
    <x v="3"/>
    <n v="24.285714285714281"/>
    <n v="43"/>
    <n v="0"/>
  </r>
  <r>
    <n v="23"/>
    <n v="11"/>
    <n v="16"/>
    <s v="Участник"/>
    <x v="2"/>
    <x v="3"/>
    <n v="22.857142857142861"/>
    <n v="43"/>
    <n v="0"/>
  </r>
  <r>
    <n v="24"/>
    <n v="11"/>
    <n v="16"/>
    <s v="Участник"/>
    <x v="2"/>
    <x v="3"/>
    <n v="22.857142857142861"/>
    <n v="43"/>
    <n v="0"/>
  </r>
  <r>
    <n v="25"/>
    <n v="11"/>
    <n v="16"/>
    <s v="Участник"/>
    <x v="2"/>
    <x v="3"/>
    <n v="22.857142857142861"/>
    <n v="43"/>
    <n v="0"/>
  </r>
  <r>
    <n v="26"/>
    <n v="11"/>
    <n v="14"/>
    <s v="Участник"/>
    <x v="2"/>
    <x v="3"/>
    <n v="20"/>
    <n v="43"/>
    <n v="0"/>
  </r>
  <r>
    <n v="27"/>
    <n v="11"/>
    <n v="13"/>
    <s v="Участник"/>
    <x v="2"/>
    <x v="3"/>
    <n v="18.571428571428569"/>
    <n v="43"/>
    <n v="0"/>
  </r>
  <r>
    <n v="28"/>
    <n v="11"/>
    <n v="12"/>
    <s v="Участник"/>
    <x v="2"/>
    <x v="3"/>
    <n v="17.142857142857139"/>
    <n v="43"/>
    <n v="0"/>
  </r>
  <r>
    <n v="29"/>
    <n v="11"/>
    <n v="11"/>
    <s v="Участник"/>
    <x v="2"/>
    <x v="3"/>
    <n v="15.71428571428571"/>
    <n v="43"/>
    <n v="0"/>
  </r>
  <r>
    <n v="30"/>
    <n v="11"/>
    <n v="11"/>
    <s v="Участник"/>
    <x v="2"/>
    <x v="3"/>
    <n v="15.71428571428571"/>
    <n v="43"/>
    <n v="0"/>
  </r>
  <r>
    <n v="31"/>
    <n v="11"/>
    <n v="9"/>
    <s v="Участник"/>
    <x v="2"/>
    <x v="3"/>
    <n v="12.857142857142859"/>
    <n v="43"/>
    <n v="0"/>
  </r>
  <r>
    <n v="32"/>
    <n v="11"/>
    <n v="9"/>
    <s v="Участник"/>
    <x v="2"/>
    <x v="3"/>
    <n v="12.857142857142859"/>
    <n v="43"/>
    <n v="0"/>
  </r>
  <r>
    <n v="1"/>
    <n v="9"/>
    <n v="48"/>
    <s v="Победитель"/>
    <x v="3"/>
    <x v="0"/>
    <n v="48"/>
    <n v="65"/>
    <n v="0"/>
  </r>
  <r>
    <n v="2"/>
    <n v="9"/>
    <n v="45"/>
    <s v="Победитель"/>
    <x v="3"/>
    <x v="0"/>
    <n v="45"/>
    <n v="65"/>
    <n v="0"/>
  </r>
  <r>
    <n v="3"/>
    <n v="9"/>
    <n v="40"/>
    <s v="Призер"/>
    <x v="3"/>
    <x v="0"/>
    <n v="40"/>
    <n v="65"/>
    <n v="0"/>
  </r>
  <r>
    <n v="4"/>
    <n v="9"/>
    <n v="40"/>
    <s v="Призер"/>
    <x v="3"/>
    <x v="0"/>
    <n v="40"/>
    <n v="65"/>
    <n v="0"/>
  </r>
  <r>
    <n v="5"/>
    <n v="9"/>
    <n v="39"/>
    <s v="Призер"/>
    <x v="3"/>
    <x v="0"/>
    <n v="39"/>
    <n v="65"/>
    <n v="0"/>
  </r>
  <r>
    <n v="6"/>
    <n v="9"/>
    <n v="38"/>
    <s v="Призер"/>
    <x v="3"/>
    <x v="0"/>
    <n v="38"/>
    <n v="65"/>
    <n v="0"/>
  </r>
  <r>
    <n v="7"/>
    <n v="9"/>
    <n v="37"/>
    <s v="Участник"/>
    <x v="3"/>
    <x v="0"/>
    <n v="37"/>
    <n v="65"/>
    <n v="0"/>
  </r>
  <r>
    <n v="8"/>
    <n v="9"/>
    <n v="37"/>
    <s v="Участник"/>
    <x v="3"/>
    <x v="0"/>
    <n v="37"/>
    <n v="65"/>
    <n v="0"/>
  </r>
  <r>
    <n v="9"/>
    <n v="9"/>
    <n v="37"/>
    <s v="Участник"/>
    <x v="3"/>
    <x v="0"/>
    <n v="37"/>
    <n v="65"/>
    <n v="0"/>
  </r>
  <r>
    <n v="10"/>
    <n v="9"/>
    <n v="34"/>
    <s v="Участник"/>
    <x v="3"/>
    <x v="0"/>
    <n v="34"/>
    <n v="65"/>
    <n v="0"/>
  </r>
  <r>
    <n v="11"/>
    <n v="9"/>
    <n v="34"/>
    <s v="Участник"/>
    <x v="3"/>
    <x v="0"/>
    <n v="34"/>
    <n v="65"/>
    <n v="0"/>
  </r>
  <r>
    <n v="12"/>
    <n v="9"/>
    <n v="33"/>
    <s v="Участник"/>
    <x v="3"/>
    <x v="0"/>
    <n v="33"/>
    <n v="65"/>
    <n v="0"/>
  </r>
  <r>
    <n v="13"/>
    <n v="9"/>
    <n v="32"/>
    <s v="Участник"/>
    <x v="3"/>
    <x v="0"/>
    <n v="32"/>
    <n v="65"/>
    <n v="0"/>
  </r>
  <r>
    <n v="14"/>
    <n v="9"/>
    <n v="32"/>
    <s v="Участник"/>
    <x v="3"/>
    <x v="0"/>
    <n v="32"/>
    <n v="65"/>
    <n v="0"/>
  </r>
  <r>
    <n v="15"/>
    <n v="9"/>
    <n v="29"/>
    <s v="Участник"/>
    <x v="3"/>
    <x v="0"/>
    <n v="29"/>
    <n v="65"/>
    <n v="0"/>
  </r>
  <r>
    <n v="16"/>
    <n v="9"/>
    <n v="28"/>
    <s v="Участник"/>
    <x v="3"/>
    <x v="0"/>
    <n v="28"/>
    <n v="65"/>
    <n v="0"/>
  </r>
  <r>
    <n v="17"/>
    <n v="9"/>
    <n v="26"/>
    <s v="Участник"/>
    <x v="3"/>
    <x v="0"/>
    <n v="26"/>
    <n v="65"/>
    <n v="0"/>
  </r>
  <r>
    <n v="18"/>
    <n v="9"/>
    <n v="23"/>
    <s v="Участник"/>
    <x v="3"/>
    <x v="0"/>
    <n v="23"/>
    <n v="65"/>
    <n v="0"/>
  </r>
  <r>
    <n v="19"/>
    <n v="9"/>
    <n v="21"/>
    <s v="Участник"/>
    <x v="3"/>
    <x v="0"/>
    <n v="21"/>
    <n v="65"/>
    <n v="0"/>
  </r>
  <r>
    <n v="20"/>
    <n v="9"/>
    <n v="20"/>
    <s v="Участник"/>
    <x v="3"/>
    <x v="0"/>
    <n v="20"/>
    <n v="65"/>
    <n v="0"/>
  </r>
  <r>
    <n v="21"/>
    <n v="9"/>
    <n v="19"/>
    <s v="Участник"/>
    <x v="3"/>
    <x v="0"/>
    <n v="19"/>
    <n v="65"/>
    <n v="0"/>
  </r>
  <r>
    <n v="1"/>
    <n v="10"/>
    <n v="62"/>
    <s v="Победитель"/>
    <x v="3"/>
    <x v="0"/>
    <n v="62"/>
    <n v="74"/>
    <n v="0"/>
  </r>
  <r>
    <n v="2"/>
    <n v="10"/>
    <n v="59"/>
    <s v="Победитель"/>
    <x v="3"/>
    <x v="0"/>
    <n v="59"/>
    <n v="74"/>
    <n v="0"/>
  </r>
  <r>
    <n v="3"/>
    <n v="10"/>
    <n v="58"/>
    <s v="Победитель"/>
    <x v="3"/>
    <x v="0"/>
    <n v="57.999999999999993"/>
    <n v="74"/>
    <n v="0"/>
  </r>
  <r>
    <n v="4"/>
    <n v="10"/>
    <n v="55"/>
    <s v="Призер"/>
    <x v="3"/>
    <x v="0"/>
    <n v="55.000000000000007"/>
    <n v="74"/>
    <n v="0"/>
  </r>
  <r>
    <n v="5"/>
    <n v="10"/>
    <n v="55"/>
    <s v="Призер"/>
    <x v="3"/>
    <x v="0"/>
    <n v="55.000000000000007"/>
    <n v="74"/>
    <n v="0"/>
  </r>
  <r>
    <n v="6"/>
    <n v="10"/>
    <n v="51"/>
    <s v="Призер"/>
    <x v="3"/>
    <x v="0"/>
    <n v="51"/>
    <n v="74"/>
    <n v="0"/>
  </r>
  <r>
    <n v="7"/>
    <n v="10"/>
    <n v="48"/>
    <s v="Призер"/>
    <x v="3"/>
    <x v="0"/>
    <n v="48"/>
    <n v="74"/>
    <n v="0"/>
  </r>
  <r>
    <n v="8"/>
    <n v="10"/>
    <n v="48"/>
    <s v="Призер"/>
    <x v="3"/>
    <x v="0"/>
    <n v="48"/>
    <n v="74"/>
    <n v="0"/>
  </r>
  <r>
    <n v="9"/>
    <n v="10"/>
    <n v="46"/>
    <s v="Участник"/>
    <x v="3"/>
    <x v="0"/>
    <n v="46"/>
    <n v="74"/>
    <n v="0"/>
  </r>
  <r>
    <n v="10"/>
    <n v="10"/>
    <n v="46"/>
    <s v="Участник"/>
    <x v="3"/>
    <x v="0"/>
    <n v="46"/>
    <n v="74"/>
    <n v="0"/>
  </r>
  <r>
    <n v="11"/>
    <n v="10"/>
    <n v="45"/>
    <s v="Участник"/>
    <x v="3"/>
    <x v="0"/>
    <n v="45"/>
    <n v="74"/>
    <n v="0"/>
  </r>
  <r>
    <n v="12"/>
    <n v="10"/>
    <n v="43"/>
    <s v="Участник"/>
    <x v="3"/>
    <x v="0"/>
    <n v="43"/>
    <n v="74"/>
    <n v="0"/>
  </r>
  <r>
    <n v="13"/>
    <n v="10"/>
    <n v="42"/>
    <s v="Участник"/>
    <x v="3"/>
    <x v="0"/>
    <n v="42"/>
    <n v="74"/>
    <n v="0"/>
  </r>
  <r>
    <n v="14"/>
    <n v="10"/>
    <n v="42"/>
    <s v="Участник"/>
    <x v="3"/>
    <x v="0"/>
    <n v="42"/>
    <n v="74"/>
    <n v="0"/>
  </r>
  <r>
    <n v="15"/>
    <n v="10"/>
    <n v="42"/>
    <s v="Участник"/>
    <x v="3"/>
    <x v="0"/>
    <n v="42"/>
    <n v="74"/>
    <n v="0"/>
  </r>
  <r>
    <n v="16"/>
    <n v="10"/>
    <n v="39"/>
    <s v="Участник"/>
    <x v="3"/>
    <x v="0"/>
    <n v="39"/>
    <n v="74"/>
    <n v="0"/>
  </r>
  <r>
    <n v="17"/>
    <n v="10"/>
    <n v="39"/>
    <s v="Участник"/>
    <x v="3"/>
    <x v="0"/>
    <n v="39"/>
    <n v="74"/>
    <n v="0"/>
  </r>
  <r>
    <n v="18"/>
    <n v="10"/>
    <n v="39"/>
    <s v="Участник"/>
    <x v="3"/>
    <x v="0"/>
    <n v="39"/>
    <n v="74"/>
    <n v="0"/>
  </r>
  <r>
    <n v="19"/>
    <n v="10"/>
    <n v="33"/>
    <s v="Участник"/>
    <x v="3"/>
    <x v="0"/>
    <n v="33"/>
    <n v="74"/>
    <n v="0"/>
  </r>
  <r>
    <n v="20"/>
    <n v="10"/>
    <n v="31"/>
    <s v="Участник"/>
    <x v="3"/>
    <x v="0"/>
    <n v="31"/>
    <n v="74"/>
    <n v="0"/>
  </r>
  <r>
    <n v="21"/>
    <n v="10"/>
    <n v="29"/>
    <s v="Участник"/>
    <x v="3"/>
    <x v="0"/>
    <n v="29"/>
    <n v="74"/>
    <n v="0"/>
  </r>
  <r>
    <n v="22"/>
    <n v="10"/>
    <n v="29"/>
    <s v="Участник"/>
    <x v="3"/>
    <x v="0"/>
    <n v="29"/>
    <n v="74"/>
    <n v="0"/>
  </r>
  <r>
    <n v="23"/>
    <n v="10"/>
    <n v="25"/>
    <s v="Участник"/>
    <x v="3"/>
    <x v="0"/>
    <n v="25"/>
    <n v="74"/>
    <n v="0"/>
  </r>
  <r>
    <n v="1"/>
    <n v="11"/>
    <n v="60"/>
    <s v="Победитель"/>
    <x v="3"/>
    <x v="0"/>
    <n v="60"/>
    <n v="81"/>
    <n v="0"/>
  </r>
  <r>
    <n v="2"/>
    <n v="11"/>
    <n v="49"/>
    <s v="Призер"/>
    <x v="3"/>
    <x v="0"/>
    <n v="49"/>
    <n v="81"/>
    <n v="0"/>
  </r>
  <r>
    <n v="3"/>
    <n v="11"/>
    <n v="48"/>
    <s v="Призер"/>
    <x v="3"/>
    <x v="0"/>
    <n v="48"/>
    <n v="81"/>
    <n v="0"/>
  </r>
  <r>
    <n v="4"/>
    <n v="11"/>
    <n v="42"/>
    <s v="Призер"/>
    <x v="3"/>
    <x v="0"/>
    <n v="42"/>
    <n v="81"/>
    <n v="0"/>
  </r>
  <r>
    <n v="5"/>
    <n v="11"/>
    <n v="40"/>
    <s v="Призер"/>
    <x v="3"/>
    <x v="0"/>
    <n v="40"/>
    <n v="81"/>
    <n v="0"/>
  </r>
  <r>
    <n v="6"/>
    <n v="11"/>
    <n v="38"/>
    <s v="Участник"/>
    <x v="3"/>
    <x v="0"/>
    <n v="38"/>
    <n v="81"/>
    <n v="0"/>
  </r>
  <r>
    <n v="7"/>
    <n v="11"/>
    <n v="37"/>
    <s v="Участник"/>
    <x v="3"/>
    <x v="0"/>
    <n v="37"/>
    <n v="81"/>
    <n v="0"/>
  </r>
  <r>
    <n v="8"/>
    <n v="11"/>
    <n v="36"/>
    <s v="Участник"/>
    <x v="3"/>
    <x v="0"/>
    <n v="36"/>
    <n v="81"/>
    <n v="0"/>
  </r>
  <r>
    <n v="9"/>
    <n v="11"/>
    <n v="34"/>
    <s v="Участник"/>
    <x v="3"/>
    <x v="0"/>
    <n v="34"/>
    <n v="81"/>
    <n v="0"/>
  </r>
  <r>
    <n v="10"/>
    <n v="11"/>
    <n v="32"/>
    <s v="Участник"/>
    <x v="3"/>
    <x v="0"/>
    <n v="32"/>
    <n v="81"/>
    <n v="0"/>
  </r>
  <r>
    <n v="11"/>
    <n v="11"/>
    <n v="31"/>
    <s v="Участник"/>
    <x v="3"/>
    <x v="0"/>
    <n v="31"/>
    <n v="81"/>
    <n v="0"/>
  </r>
  <r>
    <n v="12"/>
    <n v="11"/>
    <n v="30"/>
    <s v="Участник"/>
    <x v="3"/>
    <x v="0"/>
    <n v="30"/>
    <n v="81"/>
    <n v="0"/>
  </r>
  <r>
    <n v="13"/>
    <n v="11"/>
    <n v="27"/>
    <s v="Участник"/>
    <x v="3"/>
    <x v="0"/>
    <n v="27"/>
    <n v="81"/>
    <n v="0"/>
  </r>
  <r>
    <n v="14"/>
    <n v="11"/>
    <n v="26"/>
    <s v="Участник"/>
    <x v="3"/>
    <x v="0"/>
    <n v="26"/>
    <n v="81"/>
    <n v="0"/>
  </r>
  <r>
    <n v="15"/>
    <n v="11"/>
    <n v="25"/>
    <s v="Участник"/>
    <x v="3"/>
    <x v="0"/>
    <n v="25"/>
    <n v="81"/>
    <n v="0"/>
  </r>
  <r>
    <n v="16"/>
    <n v="11"/>
    <n v="24"/>
    <s v="Участник"/>
    <x v="3"/>
    <x v="0"/>
    <n v="24"/>
    <n v="81"/>
    <n v="0"/>
  </r>
  <r>
    <n v="17"/>
    <n v="11"/>
    <n v="23"/>
    <s v="Участник"/>
    <x v="3"/>
    <x v="0"/>
    <n v="23"/>
    <n v="81"/>
    <n v="0"/>
  </r>
  <r>
    <n v="18"/>
    <n v="11"/>
    <n v="22"/>
    <s v="Участник"/>
    <x v="3"/>
    <x v="0"/>
    <n v="22"/>
    <n v="81"/>
    <n v="0"/>
  </r>
  <r>
    <n v="19"/>
    <n v="11"/>
    <n v="21"/>
    <s v="Участник"/>
    <x v="3"/>
    <x v="0"/>
    <n v="21"/>
    <n v="81"/>
    <n v="0"/>
  </r>
  <r>
    <n v="20"/>
    <n v="11"/>
    <n v="20"/>
    <s v="Участник"/>
    <x v="3"/>
    <x v="0"/>
    <n v="20"/>
    <n v="81"/>
    <n v="0"/>
  </r>
  <r>
    <n v="21"/>
    <n v="11"/>
    <n v="17"/>
    <s v="Участник"/>
    <x v="3"/>
    <x v="0"/>
    <n v="17"/>
    <n v="81"/>
    <n v="0"/>
  </r>
  <r>
    <n v="22"/>
    <n v="11"/>
    <n v="0"/>
    <s v="Участник"/>
    <x v="3"/>
    <x v="0"/>
    <n v="0"/>
    <n v="81"/>
    <n v="0"/>
  </r>
  <r>
    <n v="1"/>
    <n v="9"/>
    <n v="60"/>
    <s v="Победитель"/>
    <x v="3"/>
    <x v="1"/>
    <n v="60"/>
    <n v="70"/>
    <n v="0"/>
  </r>
  <r>
    <n v="2"/>
    <n v="9"/>
    <n v="58"/>
    <s v="Победитель"/>
    <x v="3"/>
    <x v="1"/>
    <n v="57.999999999999993"/>
    <n v="70"/>
    <n v="0"/>
  </r>
  <r>
    <n v="3"/>
    <n v="9"/>
    <n v="55"/>
    <s v="Победитель"/>
    <x v="3"/>
    <x v="1"/>
    <n v="55.000000000000007"/>
    <n v="70"/>
    <n v="0"/>
  </r>
  <r>
    <n v="4"/>
    <n v="9"/>
    <n v="54"/>
    <s v="Призер"/>
    <x v="3"/>
    <x v="1"/>
    <n v="54"/>
    <n v="70"/>
    <n v="0"/>
  </r>
  <r>
    <n v="5"/>
    <n v="9"/>
    <n v="53"/>
    <s v="Призер"/>
    <x v="3"/>
    <x v="1"/>
    <n v="53"/>
    <n v="70"/>
    <n v="0"/>
  </r>
  <r>
    <n v="6"/>
    <n v="9"/>
    <n v="47"/>
    <s v="Призер"/>
    <x v="3"/>
    <x v="1"/>
    <n v="47"/>
    <n v="70"/>
    <n v="0"/>
  </r>
  <r>
    <n v="7"/>
    <n v="9"/>
    <n v="46"/>
    <s v="Призер"/>
    <x v="3"/>
    <x v="1"/>
    <n v="46"/>
    <n v="70"/>
    <n v="0"/>
  </r>
  <r>
    <n v="8"/>
    <n v="9"/>
    <n v="45"/>
    <s v="Призер"/>
    <x v="3"/>
    <x v="1"/>
    <n v="45"/>
    <n v="70"/>
    <n v="0"/>
  </r>
  <r>
    <n v="9"/>
    <n v="9"/>
    <n v="44"/>
    <s v="Призер"/>
    <x v="3"/>
    <x v="1"/>
    <n v="44"/>
    <n v="70"/>
    <n v="0"/>
  </r>
  <r>
    <n v="10"/>
    <n v="9"/>
    <n v="44"/>
    <s v="Призер"/>
    <x v="3"/>
    <x v="1"/>
    <n v="44"/>
    <n v="70"/>
    <n v="0"/>
  </r>
  <r>
    <n v="11"/>
    <n v="9"/>
    <n v="43"/>
    <s v="Участник"/>
    <x v="3"/>
    <x v="1"/>
    <n v="43"/>
    <n v="70"/>
    <n v="0"/>
  </r>
  <r>
    <n v="12"/>
    <n v="9"/>
    <n v="43"/>
    <s v="Участник"/>
    <x v="3"/>
    <x v="1"/>
    <n v="43"/>
    <n v="70"/>
    <n v="0"/>
  </r>
  <r>
    <n v="13"/>
    <n v="9"/>
    <n v="41"/>
    <s v="Участник"/>
    <x v="3"/>
    <x v="1"/>
    <n v="41"/>
    <n v="70"/>
    <n v="0"/>
  </r>
  <r>
    <n v="14"/>
    <n v="9"/>
    <n v="41"/>
    <s v="Участник"/>
    <x v="3"/>
    <x v="1"/>
    <n v="41"/>
    <n v="70"/>
    <n v="0"/>
  </r>
  <r>
    <n v="15"/>
    <n v="9"/>
    <n v="38"/>
    <s v="Участник"/>
    <x v="3"/>
    <x v="1"/>
    <n v="38"/>
    <n v="70"/>
    <n v="0"/>
  </r>
  <r>
    <n v="16"/>
    <n v="9"/>
    <n v="38"/>
    <s v="Участник"/>
    <x v="3"/>
    <x v="1"/>
    <n v="38"/>
    <n v="70"/>
    <n v="0"/>
  </r>
  <r>
    <n v="17"/>
    <n v="9"/>
    <n v="36"/>
    <s v="Участник"/>
    <x v="3"/>
    <x v="1"/>
    <n v="36"/>
    <n v="70"/>
    <n v="0"/>
  </r>
  <r>
    <n v="18"/>
    <n v="9"/>
    <n v="33"/>
    <s v="Участник"/>
    <x v="3"/>
    <x v="1"/>
    <n v="33"/>
    <n v="70"/>
    <n v="0"/>
  </r>
  <r>
    <n v="19"/>
    <n v="9"/>
    <n v="33"/>
    <s v="Участник"/>
    <x v="3"/>
    <x v="1"/>
    <n v="33"/>
    <n v="70"/>
    <n v="0"/>
  </r>
  <r>
    <n v="20"/>
    <n v="9"/>
    <n v="33"/>
    <s v="Участник"/>
    <x v="3"/>
    <x v="1"/>
    <n v="33"/>
    <n v="70"/>
    <n v="0"/>
  </r>
  <r>
    <n v="21"/>
    <n v="9"/>
    <n v="31"/>
    <s v="Участник"/>
    <x v="3"/>
    <x v="1"/>
    <n v="31"/>
    <n v="70"/>
    <n v="0"/>
  </r>
  <r>
    <n v="22"/>
    <n v="9"/>
    <n v="31"/>
    <s v="Участник"/>
    <x v="3"/>
    <x v="1"/>
    <n v="31"/>
    <n v="70"/>
    <n v="0"/>
  </r>
  <r>
    <n v="23"/>
    <n v="9"/>
    <n v="30"/>
    <s v="Участник"/>
    <x v="3"/>
    <x v="1"/>
    <n v="30"/>
    <n v="70"/>
    <n v="0"/>
  </r>
  <r>
    <n v="24"/>
    <n v="9"/>
    <n v="29"/>
    <s v="Участник"/>
    <x v="3"/>
    <x v="1"/>
    <n v="29"/>
    <n v="70"/>
    <n v="0"/>
  </r>
  <r>
    <n v="25"/>
    <n v="9"/>
    <n v="23"/>
    <s v="Участник"/>
    <x v="3"/>
    <x v="1"/>
    <n v="23"/>
    <n v="70"/>
    <n v="0"/>
  </r>
  <r>
    <n v="26"/>
    <n v="9"/>
    <n v="21"/>
    <s v="Участник"/>
    <x v="3"/>
    <x v="1"/>
    <n v="21"/>
    <n v="70"/>
    <n v="0"/>
  </r>
  <r>
    <n v="27"/>
    <n v="9"/>
    <n v="20"/>
    <s v="Участник"/>
    <x v="3"/>
    <x v="1"/>
    <n v="20"/>
    <n v="70"/>
    <n v="0"/>
  </r>
  <r>
    <n v="28"/>
    <n v="9"/>
    <n v="19"/>
    <s v="Участник"/>
    <x v="3"/>
    <x v="1"/>
    <n v="19"/>
    <n v="70"/>
    <n v="0"/>
  </r>
  <r>
    <n v="1"/>
    <n v="10"/>
    <n v="60"/>
    <s v="Победитель"/>
    <x v="3"/>
    <x v="1"/>
    <n v="60"/>
    <n v="79"/>
    <n v="0"/>
  </r>
  <r>
    <n v="2"/>
    <n v="10"/>
    <n v="55"/>
    <s v="Победитель"/>
    <x v="3"/>
    <x v="1"/>
    <n v="55.000000000000007"/>
    <n v="79"/>
    <n v="0"/>
  </r>
  <r>
    <n v="3"/>
    <n v="10"/>
    <n v="55"/>
    <s v="Победитель"/>
    <x v="3"/>
    <x v="1"/>
    <n v="55.000000000000007"/>
    <n v="79"/>
    <n v="0"/>
  </r>
  <r>
    <n v="4"/>
    <n v="10"/>
    <n v="54"/>
    <s v="Призер"/>
    <x v="3"/>
    <x v="1"/>
    <n v="54"/>
    <n v="79"/>
    <n v="0"/>
  </r>
  <r>
    <n v="5"/>
    <n v="10"/>
    <n v="52"/>
    <s v="Призер"/>
    <x v="3"/>
    <x v="1"/>
    <n v="52"/>
    <n v="79"/>
    <n v="0"/>
  </r>
  <r>
    <n v="6"/>
    <n v="10"/>
    <n v="51"/>
    <s v="Призер"/>
    <x v="3"/>
    <x v="1"/>
    <n v="51"/>
    <n v="79"/>
    <n v="0"/>
  </r>
  <r>
    <n v="7"/>
    <n v="10"/>
    <n v="51"/>
    <s v="Призер"/>
    <x v="3"/>
    <x v="1"/>
    <n v="51"/>
    <n v="79"/>
    <n v="0"/>
  </r>
  <r>
    <n v="8"/>
    <n v="10"/>
    <n v="46"/>
    <s v="Призер"/>
    <x v="3"/>
    <x v="1"/>
    <n v="46"/>
    <n v="79"/>
    <n v="0"/>
  </r>
  <r>
    <n v="9"/>
    <n v="10"/>
    <n v="42"/>
    <s v="Участник"/>
    <x v="3"/>
    <x v="1"/>
    <n v="42"/>
    <n v="79"/>
    <n v="0"/>
  </r>
  <r>
    <n v="10"/>
    <n v="10"/>
    <n v="42"/>
    <s v="Участник"/>
    <x v="3"/>
    <x v="1"/>
    <n v="42"/>
    <n v="79"/>
    <n v="0"/>
  </r>
  <r>
    <n v="11"/>
    <n v="10"/>
    <n v="41"/>
    <s v="Участник"/>
    <x v="3"/>
    <x v="1"/>
    <n v="41"/>
    <n v="79"/>
    <n v="0"/>
  </r>
  <r>
    <n v="12"/>
    <n v="10"/>
    <n v="41"/>
    <s v="Участник"/>
    <x v="3"/>
    <x v="1"/>
    <n v="41"/>
    <n v="79"/>
    <n v="0"/>
  </r>
  <r>
    <n v="13"/>
    <n v="10"/>
    <n v="41"/>
    <s v="Участник"/>
    <x v="3"/>
    <x v="1"/>
    <n v="41"/>
    <n v="79"/>
    <n v="0"/>
  </r>
  <r>
    <n v="14"/>
    <n v="10"/>
    <n v="41"/>
    <s v="Участник"/>
    <x v="3"/>
    <x v="1"/>
    <n v="41"/>
    <n v="79"/>
    <n v="0"/>
  </r>
  <r>
    <n v="15"/>
    <n v="10"/>
    <n v="40"/>
    <s v="Участник"/>
    <x v="3"/>
    <x v="1"/>
    <n v="40"/>
    <n v="79"/>
    <n v="0"/>
  </r>
  <r>
    <n v="16"/>
    <n v="10"/>
    <n v="39"/>
    <s v="Участник"/>
    <x v="3"/>
    <x v="1"/>
    <n v="39"/>
    <n v="79"/>
    <n v="0"/>
  </r>
  <r>
    <n v="17"/>
    <n v="10"/>
    <n v="39"/>
    <s v="Участник"/>
    <x v="3"/>
    <x v="1"/>
    <n v="39"/>
    <n v="79"/>
    <n v="0"/>
  </r>
  <r>
    <n v="18"/>
    <n v="10"/>
    <n v="36"/>
    <s v="Участник"/>
    <x v="3"/>
    <x v="1"/>
    <n v="36"/>
    <n v="79"/>
    <n v="0"/>
  </r>
  <r>
    <n v="19"/>
    <n v="10"/>
    <n v="36"/>
    <s v="Участник"/>
    <x v="3"/>
    <x v="1"/>
    <n v="36"/>
    <n v="79"/>
    <n v="0"/>
  </r>
  <r>
    <n v="20"/>
    <n v="10"/>
    <n v="36"/>
    <s v="Участник"/>
    <x v="3"/>
    <x v="1"/>
    <n v="36"/>
    <n v="79"/>
    <n v="0"/>
  </r>
  <r>
    <n v="21"/>
    <n v="10"/>
    <n v="35"/>
    <s v="Участник"/>
    <x v="3"/>
    <x v="1"/>
    <n v="35"/>
    <n v="79"/>
    <n v="0"/>
  </r>
  <r>
    <n v="22"/>
    <n v="10"/>
    <n v="35"/>
    <s v="Участник"/>
    <x v="3"/>
    <x v="1"/>
    <n v="35"/>
    <n v="79"/>
    <n v="0"/>
  </r>
  <r>
    <n v="23"/>
    <n v="10"/>
    <n v="34"/>
    <s v="Участник"/>
    <x v="3"/>
    <x v="1"/>
    <n v="34"/>
    <n v="79"/>
    <n v="0"/>
  </r>
  <r>
    <n v="24"/>
    <n v="10"/>
    <n v="33"/>
    <s v="Участник"/>
    <x v="3"/>
    <x v="1"/>
    <n v="33"/>
    <n v="79"/>
    <n v="0"/>
  </r>
  <r>
    <n v="25"/>
    <n v="10"/>
    <n v="31"/>
    <s v="Участник"/>
    <x v="3"/>
    <x v="1"/>
    <n v="31"/>
    <n v="79"/>
    <n v="0"/>
  </r>
  <r>
    <n v="26"/>
    <n v="10"/>
    <n v="29"/>
    <s v="Участник"/>
    <x v="3"/>
    <x v="1"/>
    <n v="29"/>
    <n v="79"/>
    <n v="0"/>
  </r>
  <r>
    <n v="27"/>
    <n v="10"/>
    <n v="29"/>
    <s v="Участник"/>
    <x v="3"/>
    <x v="1"/>
    <n v="29"/>
    <n v="79"/>
    <n v="0"/>
  </r>
  <r>
    <n v="28"/>
    <n v="10"/>
    <n v="26"/>
    <s v="Участник"/>
    <x v="3"/>
    <x v="1"/>
    <n v="26"/>
    <n v="79"/>
    <n v="0"/>
  </r>
  <r>
    <n v="29"/>
    <n v="10"/>
    <n v="25"/>
    <s v="Участник"/>
    <x v="3"/>
    <x v="1"/>
    <n v="25"/>
    <n v="79"/>
    <n v="0"/>
  </r>
  <r>
    <n v="30"/>
    <n v="10"/>
    <n v="25"/>
    <s v="Участник"/>
    <x v="3"/>
    <x v="1"/>
    <n v="25"/>
    <n v="79"/>
    <n v="0"/>
  </r>
  <r>
    <n v="31"/>
    <n v="10"/>
    <n v="21"/>
    <s v="Участник"/>
    <x v="3"/>
    <x v="1"/>
    <n v="21"/>
    <n v="79"/>
    <n v="0"/>
  </r>
  <r>
    <n v="32"/>
    <n v="10"/>
    <n v="16"/>
    <s v="Участник"/>
    <x v="3"/>
    <x v="1"/>
    <n v="16"/>
    <n v="79"/>
    <n v="0"/>
  </r>
  <r>
    <n v="1"/>
    <n v="11"/>
    <n v="61"/>
    <s v="Победитель"/>
    <x v="3"/>
    <x v="1"/>
    <n v="61"/>
    <n v="86"/>
    <n v="0"/>
  </r>
  <r>
    <n v="2"/>
    <n v="11"/>
    <n v="55"/>
    <s v="Победитель"/>
    <x v="3"/>
    <x v="1"/>
    <n v="55.000000000000007"/>
    <n v="86"/>
    <n v="0"/>
  </r>
  <r>
    <n v="3"/>
    <n v="11"/>
    <n v="55"/>
    <s v="Победитель"/>
    <x v="3"/>
    <x v="1"/>
    <n v="55.000000000000007"/>
    <n v="86"/>
    <n v="0"/>
  </r>
  <r>
    <n v="4"/>
    <n v="11"/>
    <n v="55"/>
    <s v="Победитель"/>
    <x v="3"/>
    <x v="1"/>
    <n v="55.000000000000007"/>
    <n v="86"/>
    <n v="0"/>
  </r>
  <r>
    <n v="5"/>
    <n v="11"/>
    <n v="54"/>
    <s v="Призер"/>
    <x v="3"/>
    <x v="1"/>
    <n v="54"/>
    <n v="86"/>
    <n v="0"/>
  </r>
  <r>
    <n v="6"/>
    <n v="11"/>
    <n v="53"/>
    <s v="Призер"/>
    <x v="3"/>
    <x v="1"/>
    <n v="53"/>
    <n v="86"/>
    <n v="0"/>
  </r>
  <r>
    <n v="7"/>
    <n v="11"/>
    <n v="52"/>
    <s v="Призер"/>
    <x v="3"/>
    <x v="1"/>
    <n v="52"/>
    <n v="86"/>
    <n v="0"/>
  </r>
  <r>
    <n v="8"/>
    <n v="11"/>
    <n v="52"/>
    <s v="Призер"/>
    <x v="3"/>
    <x v="1"/>
    <n v="52"/>
    <n v="86"/>
    <n v="0"/>
  </r>
  <r>
    <n v="9"/>
    <n v="11"/>
    <n v="51"/>
    <s v="Призер"/>
    <x v="3"/>
    <x v="1"/>
    <n v="51"/>
    <n v="86"/>
    <n v="0"/>
  </r>
  <r>
    <n v="10"/>
    <n v="11"/>
    <n v="47"/>
    <s v="Призер"/>
    <x v="3"/>
    <x v="1"/>
    <n v="47"/>
    <n v="86"/>
    <n v="0"/>
  </r>
  <r>
    <n v="11"/>
    <n v="11"/>
    <n v="47"/>
    <s v="Призер"/>
    <x v="3"/>
    <x v="1"/>
    <n v="47"/>
    <n v="86"/>
    <n v="0"/>
  </r>
  <r>
    <n v="12"/>
    <n v="11"/>
    <n v="45"/>
    <s v="Участник"/>
    <x v="3"/>
    <x v="1"/>
    <n v="45"/>
    <n v="86"/>
    <n v="0"/>
  </r>
  <r>
    <n v="13"/>
    <n v="11"/>
    <n v="45"/>
    <s v="Участник"/>
    <x v="3"/>
    <x v="1"/>
    <n v="45"/>
    <n v="86"/>
    <n v="0"/>
  </r>
  <r>
    <n v="14"/>
    <n v="11"/>
    <n v="45"/>
    <s v="Участник"/>
    <x v="3"/>
    <x v="1"/>
    <n v="45"/>
    <n v="86"/>
    <n v="0"/>
  </r>
  <r>
    <n v="15"/>
    <n v="11"/>
    <n v="45"/>
    <s v="Участник"/>
    <x v="3"/>
    <x v="1"/>
    <n v="45"/>
    <n v="86"/>
    <n v="0"/>
  </r>
  <r>
    <n v="16"/>
    <n v="11"/>
    <n v="44"/>
    <s v="Участник"/>
    <x v="3"/>
    <x v="1"/>
    <n v="44"/>
    <n v="86"/>
    <n v="0"/>
  </r>
  <r>
    <n v="17"/>
    <n v="11"/>
    <n v="44"/>
    <s v="Участник"/>
    <x v="3"/>
    <x v="1"/>
    <n v="44"/>
    <n v="86"/>
    <n v="0"/>
  </r>
  <r>
    <n v="18"/>
    <n v="11"/>
    <n v="42"/>
    <s v="Участник"/>
    <x v="3"/>
    <x v="1"/>
    <n v="42"/>
    <n v="86"/>
    <n v="0"/>
  </r>
  <r>
    <n v="19"/>
    <n v="11"/>
    <n v="42"/>
    <s v="Участник"/>
    <x v="3"/>
    <x v="1"/>
    <n v="42"/>
    <n v="86"/>
    <n v="0"/>
  </r>
  <r>
    <n v="20"/>
    <n v="11"/>
    <n v="41"/>
    <s v="Участник"/>
    <x v="3"/>
    <x v="1"/>
    <n v="41"/>
    <n v="86"/>
    <n v="0"/>
  </r>
  <r>
    <n v="21"/>
    <n v="11"/>
    <n v="40"/>
    <s v="Участник"/>
    <x v="3"/>
    <x v="1"/>
    <n v="40"/>
    <n v="86"/>
    <n v="0"/>
  </r>
  <r>
    <n v="22"/>
    <n v="11"/>
    <n v="40"/>
    <s v="Участник"/>
    <x v="3"/>
    <x v="1"/>
    <n v="40"/>
    <n v="86"/>
    <n v="0"/>
  </r>
  <r>
    <n v="23"/>
    <n v="11"/>
    <n v="39"/>
    <s v="Участник"/>
    <x v="3"/>
    <x v="1"/>
    <n v="39"/>
    <n v="86"/>
    <n v="0"/>
  </r>
  <r>
    <n v="24"/>
    <n v="11"/>
    <n v="38"/>
    <s v="Участник"/>
    <x v="3"/>
    <x v="1"/>
    <n v="38"/>
    <n v="86"/>
    <n v="0"/>
  </r>
  <r>
    <n v="25"/>
    <n v="11"/>
    <n v="38"/>
    <s v="Участник"/>
    <x v="3"/>
    <x v="1"/>
    <n v="38"/>
    <n v="86"/>
    <n v="0"/>
  </r>
  <r>
    <n v="26"/>
    <n v="11"/>
    <n v="38"/>
    <s v="Участник"/>
    <x v="3"/>
    <x v="1"/>
    <n v="38"/>
    <n v="86"/>
    <n v="0"/>
  </r>
  <r>
    <n v="27"/>
    <n v="11"/>
    <n v="37"/>
    <s v="Участник"/>
    <x v="3"/>
    <x v="1"/>
    <n v="37"/>
    <n v="86"/>
    <n v="0"/>
  </r>
  <r>
    <n v="28"/>
    <n v="11"/>
    <n v="36"/>
    <s v="Участник"/>
    <x v="3"/>
    <x v="1"/>
    <n v="36"/>
    <n v="86"/>
    <n v="0"/>
  </r>
  <r>
    <n v="29"/>
    <n v="11"/>
    <n v="34"/>
    <s v="Участник"/>
    <x v="3"/>
    <x v="1"/>
    <n v="34"/>
    <n v="86"/>
    <n v="0"/>
  </r>
  <r>
    <n v="30"/>
    <n v="11"/>
    <n v="34"/>
    <s v="Участник"/>
    <x v="3"/>
    <x v="1"/>
    <n v="34"/>
    <n v="86"/>
    <n v="0"/>
  </r>
  <r>
    <n v="31"/>
    <n v="11"/>
    <n v="31"/>
    <s v="Участник"/>
    <x v="3"/>
    <x v="1"/>
    <n v="31"/>
    <n v="86"/>
    <n v="0"/>
  </r>
  <r>
    <n v="32"/>
    <n v="11"/>
    <n v="30"/>
    <s v="Участник"/>
    <x v="3"/>
    <x v="1"/>
    <n v="30"/>
    <n v="86"/>
    <n v="0"/>
  </r>
  <r>
    <n v="33"/>
    <n v="11"/>
    <n v="27"/>
    <s v="Участник"/>
    <x v="3"/>
    <x v="1"/>
    <n v="27"/>
    <n v="86"/>
    <n v="0"/>
  </r>
  <r>
    <n v="34"/>
    <n v="11"/>
    <n v="25"/>
    <s v="Участник"/>
    <x v="3"/>
    <x v="1"/>
    <n v="25"/>
    <n v="86"/>
    <n v="0"/>
  </r>
  <r>
    <n v="35"/>
    <n v="11"/>
    <n v="23"/>
    <s v="Участник"/>
    <x v="3"/>
    <x v="1"/>
    <n v="23"/>
    <n v="86"/>
    <n v="0"/>
  </r>
  <r>
    <n v="36"/>
    <n v="11"/>
    <n v="17"/>
    <s v="Участник"/>
    <x v="3"/>
    <x v="1"/>
    <n v="17"/>
    <n v="86"/>
    <n v="0"/>
  </r>
  <r>
    <n v="1"/>
    <n v="9"/>
    <n v="62.06"/>
    <s v="Победитель"/>
    <x v="3"/>
    <x v="2"/>
    <n v="62.06"/>
    <n v="78"/>
    <n v="0"/>
  </r>
  <r>
    <n v="2"/>
    <n v="9"/>
    <n v="61.61"/>
    <s v="Победитель"/>
    <x v="3"/>
    <x v="2"/>
    <n v="61.61"/>
    <n v="78"/>
    <n v="0"/>
  </r>
  <r>
    <n v="3"/>
    <n v="9"/>
    <n v="59.29"/>
    <s v="Призёр"/>
    <x v="3"/>
    <x v="2"/>
    <n v="59.29"/>
    <n v="78"/>
    <n v="0"/>
  </r>
  <r>
    <n v="4"/>
    <n v="9"/>
    <n v="58.85"/>
    <s v="Призёр"/>
    <x v="3"/>
    <x v="2"/>
    <n v="58.85"/>
    <n v="78"/>
    <n v="0"/>
  </r>
  <r>
    <n v="5"/>
    <n v="9"/>
    <n v="49.53"/>
    <s v="Призёр"/>
    <x v="3"/>
    <x v="2"/>
    <n v="49.53"/>
    <n v="78"/>
    <n v="0"/>
  </r>
  <r>
    <n v="6"/>
    <n v="9"/>
    <n v="48.84"/>
    <s v="Призёр"/>
    <x v="3"/>
    <x v="2"/>
    <n v="48.84"/>
    <n v="78"/>
    <n v="0"/>
  </r>
  <r>
    <n v="7"/>
    <n v="9"/>
    <n v="47.28"/>
    <s v="Призёр"/>
    <x v="3"/>
    <x v="2"/>
    <n v="47.28"/>
    <n v="78"/>
    <n v="0"/>
  </r>
  <r>
    <n v="8"/>
    <n v="9"/>
    <n v="47.28"/>
    <s v="Призёр"/>
    <x v="3"/>
    <x v="2"/>
    <n v="47.28"/>
    <n v="78"/>
    <n v="0"/>
  </r>
  <r>
    <n v="9"/>
    <n v="9"/>
    <n v="46.27"/>
    <s v="Участник"/>
    <x v="3"/>
    <x v="2"/>
    <n v="46.27"/>
    <n v="78"/>
    <n v="0"/>
  </r>
  <r>
    <n v="10"/>
    <n v="9"/>
    <n v="45.02"/>
    <s v="Участник"/>
    <x v="3"/>
    <x v="2"/>
    <n v="45.02"/>
    <n v="78"/>
    <n v="0"/>
  </r>
  <r>
    <n v="11"/>
    <n v="9"/>
    <n v="42.33"/>
    <s v="Участник"/>
    <x v="3"/>
    <x v="2"/>
    <n v="42.33"/>
    <n v="78"/>
    <n v="0"/>
  </r>
  <r>
    <n v="12"/>
    <n v="9"/>
    <n v="42.2"/>
    <s v="Участник"/>
    <x v="3"/>
    <x v="2"/>
    <n v="42.2"/>
    <n v="78"/>
    <n v="0"/>
  </r>
  <r>
    <n v="13"/>
    <n v="9"/>
    <n v="40.07"/>
    <s v="Участник"/>
    <x v="3"/>
    <x v="2"/>
    <n v="40.07"/>
    <n v="78"/>
    <n v="0"/>
  </r>
  <r>
    <n v="14"/>
    <n v="9"/>
    <n v="38.07"/>
    <s v="Участник"/>
    <x v="3"/>
    <x v="2"/>
    <n v="38.07"/>
    <n v="78"/>
    <n v="0"/>
  </r>
  <r>
    <n v="15"/>
    <n v="9"/>
    <n v="34.06"/>
    <s v="Участник"/>
    <x v="3"/>
    <x v="2"/>
    <n v="34.06"/>
    <n v="78"/>
    <n v="0"/>
  </r>
  <r>
    <n v="16"/>
    <n v="9"/>
    <n v="33.82"/>
    <s v="Участник"/>
    <x v="3"/>
    <x v="2"/>
    <n v="33.82"/>
    <n v="78"/>
    <n v="0"/>
  </r>
  <r>
    <n v="17"/>
    <n v="9"/>
    <n v="32.31"/>
    <s v="Участник"/>
    <x v="3"/>
    <x v="2"/>
    <n v="32.31"/>
    <n v="78"/>
    <n v="0"/>
  </r>
  <r>
    <n v="18"/>
    <n v="9"/>
    <n v="23.8"/>
    <s v="Участник"/>
    <x v="3"/>
    <x v="2"/>
    <n v="23.8"/>
    <n v="78"/>
    <n v="0"/>
  </r>
  <r>
    <n v="19"/>
    <n v="9"/>
    <n v="16.03"/>
    <s v="Участник"/>
    <x v="3"/>
    <x v="2"/>
    <n v="16.03"/>
    <n v="78"/>
    <n v="0"/>
  </r>
  <r>
    <n v="20"/>
    <n v="9"/>
    <n v="12.34"/>
    <s v="Участник"/>
    <x v="3"/>
    <x v="2"/>
    <n v="12.34"/>
    <n v="78"/>
    <n v="0"/>
  </r>
  <r>
    <n v="21"/>
    <n v="9"/>
    <n v="7.45"/>
    <s v="Участник"/>
    <x v="3"/>
    <x v="2"/>
    <n v="7.4499999999999993"/>
    <n v="78"/>
    <n v="0"/>
  </r>
  <r>
    <n v="22"/>
    <n v="9"/>
    <n v="5.32"/>
    <s v="Участник"/>
    <x v="3"/>
    <x v="2"/>
    <n v="5.32"/>
    <n v="78"/>
    <n v="0"/>
  </r>
  <r>
    <n v="1"/>
    <n v="10"/>
    <n v="68.319999999999993"/>
    <s v="Победитель"/>
    <x v="3"/>
    <x v="2"/>
    <n v="68.319999999999993"/>
    <n v="84.12"/>
    <n v="0"/>
  </r>
  <r>
    <n v="2"/>
    <n v="10"/>
    <n v="65.319999999999993"/>
    <s v="Призёр"/>
    <x v="3"/>
    <x v="2"/>
    <n v="65.319999999999993"/>
    <n v="84.12"/>
    <n v="0"/>
  </r>
  <r>
    <n v="3"/>
    <n v="10"/>
    <n v="61.19"/>
    <s v="Призёр"/>
    <x v="3"/>
    <x v="2"/>
    <n v="61.19"/>
    <n v="84.12"/>
    <n v="0"/>
  </r>
  <r>
    <n v="4"/>
    <n v="10"/>
    <n v="59.32"/>
    <s v="Призёр"/>
    <x v="3"/>
    <x v="2"/>
    <n v="59.319999999999993"/>
    <n v="84.12"/>
    <n v="0"/>
  </r>
  <r>
    <n v="5"/>
    <n v="10"/>
    <n v="58.95"/>
    <s v="Призёр"/>
    <x v="3"/>
    <x v="2"/>
    <n v="58.95"/>
    <n v="84.12"/>
    <n v="0"/>
  </r>
  <r>
    <n v="6"/>
    <n v="10"/>
    <n v="53.93"/>
    <s v="Призёр"/>
    <x v="3"/>
    <x v="2"/>
    <n v="53.93"/>
    <n v="84.12"/>
    <n v="0"/>
  </r>
  <r>
    <n v="7"/>
    <n v="10"/>
    <n v="53.54"/>
    <s v="Призёр"/>
    <x v="3"/>
    <x v="2"/>
    <n v="53.54"/>
    <n v="84.12"/>
    <n v="0"/>
  </r>
  <r>
    <n v="8"/>
    <n v="10"/>
    <n v="52.68"/>
    <s v="Призёр"/>
    <x v="3"/>
    <x v="2"/>
    <n v="52.680000000000007"/>
    <n v="84.12"/>
    <n v="0"/>
  </r>
  <r>
    <n v="9"/>
    <n v="10"/>
    <n v="51.05"/>
    <s v="Призёр"/>
    <x v="3"/>
    <x v="2"/>
    <n v="51.05"/>
    <n v="84.12"/>
    <n v="0"/>
  </r>
  <r>
    <n v="10"/>
    <n v="10"/>
    <n v="49.04"/>
    <s v="Призёр"/>
    <x v="3"/>
    <x v="2"/>
    <n v="49.04"/>
    <n v="84.12"/>
    <n v="0"/>
  </r>
  <r>
    <n v="11"/>
    <n v="10"/>
    <n v="48.54"/>
    <s v="Призёр"/>
    <x v="3"/>
    <x v="2"/>
    <n v="48.54"/>
    <n v="84.12"/>
    <n v="0"/>
  </r>
  <r>
    <n v="12"/>
    <n v="10"/>
    <n v="47.93"/>
    <s v="Участник"/>
    <x v="3"/>
    <x v="2"/>
    <n v="47.93"/>
    <n v="84.12"/>
    <n v="0"/>
  </r>
  <r>
    <n v="13"/>
    <n v="10"/>
    <n v="46.68"/>
    <s v="Участник"/>
    <x v="3"/>
    <x v="2"/>
    <n v="46.68"/>
    <n v="84.12"/>
    <n v="0"/>
  </r>
  <r>
    <n v="14"/>
    <n v="10"/>
    <n v="46.04"/>
    <s v="Участник"/>
    <x v="3"/>
    <x v="2"/>
    <n v="46.04"/>
    <n v="84.12"/>
    <n v="0"/>
  </r>
  <r>
    <n v="15"/>
    <n v="10"/>
    <n v="45.16"/>
    <s v="Участник"/>
    <x v="3"/>
    <x v="2"/>
    <n v="45.16"/>
    <n v="84.12"/>
    <n v="0"/>
  </r>
  <r>
    <n v="16"/>
    <n v="10"/>
    <n v="44.05"/>
    <s v="Участник"/>
    <x v="3"/>
    <x v="2"/>
    <n v="44.05"/>
    <n v="84.12"/>
    <n v="0"/>
  </r>
  <r>
    <n v="17"/>
    <n v="10"/>
    <n v="42.16"/>
    <s v="Участник"/>
    <x v="3"/>
    <x v="2"/>
    <n v="42.16"/>
    <n v="84.12"/>
    <n v="0"/>
  </r>
  <r>
    <n v="18"/>
    <n v="10"/>
    <n v="39.53"/>
    <s v="Участник"/>
    <x v="3"/>
    <x v="2"/>
    <n v="39.53"/>
    <n v="84.12"/>
    <n v="0"/>
  </r>
  <r>
    <n v="19"/>
    <n v="10"/>
    <n v="39.4"/>
    <s v="Участник"/>
    <x v="3"/>
    <x v="2"/>
    <n v="39.4"/>
    <n v="84.12"/>
    <n v="0"/>
  </r>
  <r>
    <n v="20"/>
    <n v="10"/>
    <n v="37.909999999999997"/>
    <s v="Участник"/>
    <x v="3"/>
    <x v="2"/>
    <n v="37.909999999999997"/>
    <n v="84.12"/>
    <n v="0"/>
  </r>
  <r>
    <n v="21"/>
    <n v="10"/>
    <n v="35.770000000000003"/>
    <s v="Участник"/>
    <x v="3"/>
    <x v="2"/>
    <n v="35.770000000000003"/>
    <n v="84.12"/>
    <n v="0"/>
  </r>
  <r>
    <n v="22"/>
    <n v="10"/>
    <n v="33.04"/>
    <s v="Участник"/>
    <x v="3"/>
    <x v="2"/>
    <n v="33.04"/>
    <n v="84.12"/>
    <n v="0"/>
  </r>
  <r>
    <n v="23"/>
    <n v="10"/>
    <n v="28.26"/>
    <s v="Участник"/>
    <x v="3"/>
    <x v="2"/>
    <n v="28.26"/>
    <n v="84.12"/>
    <n v="0"/>
  </r>
  <r>
    <n v="24"/>
    <n v="10"/>
    <n v="28.16"/>
    <s v="Участник"/>
    <x v="3"/>
    <x v="2"/>
    <n v="28.16"/>
    <n v="84.12"/>
    <n v="0"/>
  </r>
  <r>
    <n v="25"/>
    <n v="10"/>
    <n v="28.14"/>
    <s v="Участник"/>
    <x v="3"/>
    <x v="2"/>
    <n v="28.14"/>
    <n v="84.12"/>
    <n v="0"/>
  </r>
  <r>
    <n v="26"/>
    <n v="10"/>
    <n v="27.02"/>
    <s v="Участник"/>
    <x v="3"/>
    <x v="2"/>
    <n v="27.02"/>
    <n v="84.12"/>
    <n v="0"/>
  </r>
  <r>
    <n v="27"/>
    <n v="10"/>
    <n v="26.02"/>
    <s v="Участник"/>
    <x v="3"/>
    <x v="2"/>
    <n v="26.02"/>
    <n v="84.12"/>
    <n v="0"/>
  </r>
  <r>
    <n v="28"/>
    <n v="10"/>
    <n v="23.28"/>
    <s v="Участник"/>
    <x v="3"/>
    <x v="2"/>
    <n v="23.28"/>
    <n v="84.12"/>
    <n v="0"/>
  </r>
  <r>
    <n v="29"/>
    <n v="10"/>
    <n v="19.260000000000002"/>
    <s v="Участник"/>
    <x v="3"/>
    <x v="2"/>
    <n v="19.260000000000002"/>
    <n v="84.12"/>
    <n v="0"/>
  </r>
  <r>
    <n v="30"/>
    <n v="10"/>
    <n v="17.89"/>
    <s v="Участник"/>
    <x v="3"/>
    <x v="2"/>
    <n v="17.89"/>
    <n v="84.12"/>
    <n v="0"/>
  </r>
  <r>
    <n v="31"/>
    <n v="10"/>
    <n v="14.75"/>
    <s v="Участник"/>
    <x v="3"/>
    <x v="2"/>
    <n v="14.75"/>
    <n v="84.12"/>
    <n v="0"/>
  </r>
  <r>
    <n v="1"/>
    <n v="11"/>
    <n v="69.5"/>
    <s v="Победитель"/>
    <x v="3"/>
    <x v="2"/>
    <n v="69.5"/>
    <n v="90"/>
    <n v="0"/>
  </r>
  <r>
    <n v="2"/>
    <n v="11"/>
    <n v="66.099999999999994"/>
    <s v="Победитель"/>
    <x v="3"/>
    <x v="2"/>
    <n v="66.099999999999994"/>
    <n v="90"/>
    <n v="0"/>
  </r>
  <r>
    <n v="3"/>
    <n v="11"/>
    <n v="61.51"/>
    <s v="Призёр"/>
    <x v="3"/>
    <x v="2"/>
    <n v="61.51"/>
    <n v="90"/>
    <n v="0"/>
  </r>
  <r>
    <n v="4"/>
    <n v="11"/>
    <n v="61.51"/>
    <s v="Призёр"/>
    <x v="3"/>
    <x v="2"/>
    <n v="61.51"/>
    <n v="90"/>
    <n v="0"/>
  </r>
  <r>
    <n v="5"/>
    <n v="11"/>
    <n v="57.38"/>
    <s v="Призёр"/>
    <x v="3"/>
    <x v="2"/>
    <n v="57.38"/>
    <n v="90"/>
    <n v="0"/>
  </r>
  <r>
    <n v="6"/>
    <n v="11"/>
    <n v="55.73"/>
    <s v="Призёр"/>
    <x v="3"/>
    <x v="2"/>
    <n v="55.73"/>
    <n v="90"/>
    <n v="0"/>
  </r>
  <r>
    <n v="7"/>
    <n v="11"/>
    <n v="52.63"/>
    <s v="Призёр"/>
    <x v="3"/>
    <x v="2"/>
    <n v="52.63"/>
    <n v="90"/>
    <n v="0"/>
  </r>
  <r>
    <n v="8"/>
    <n v="11"/>
    <n v="52.32"/>
    <s v="Призёр"/>
    <x v="3"/>
    <x v="2"/>
    <n v="52.32"/>
    <n v="90"/>
    <n v="0"/>
  </r>
  <r>
    <n v="9"/>
    <n v="11"/>
    <n v="50.57"/>
    <s v="Призёр"/>
    <x v="3"/>
    <x v="2"/>
    <n v="50.570000000000007"/>
    <n v="90"/>
    <n v="0"/>
  </r>
  <r>
    <n v="10"/>
    <n v="11"/>
    <n v="49.59"/>
    <s v="Призёр"/>
    <x v="3"/>
    <x v="2"/>
    <n v="49.59"/>
    <n v="90"/>
    <n v="0"/>
  </r>
  <r>
    <n v="11"/>
    <n v="11"/>
    <n v="48.5"/>
    <s v="Участник"/>
    <x v="3"/>
    <x v="2"/>
    <n v="48.5"/>
    <n v="90"/>
    <n v="0"/>
  </r>
  <r>
    <n v="12"/>
    <n v="11"/>
    <n v="44.79"/>
    <s v="Участник"/>
    <x v="3"/>
    <x v="2"/>
    <n v="44.79"/>
    <n v="90"/>
    <n v="0"/>
  </r>
  <r>
    <n v="13"/>
    <n v="11"/>
    <n v="42.67"/>
    <s v="Участник"/>
    <x v="3"/>
    <x v="2"/>
    <n v="42.67"/>
    <n v="90"/>
    <n v="0"/>
  </r>
  <r>
    <n v="14"/>
    <n v="11"/>
    <n v="42.36"/>
    <s v="Участник"/>
    <x v="3"/>
    <x v="2"/>
    <n v="42.36"/>
    <n v="90"/>
    <n v="0"/>
  </r>
  <r>
    <n v="15"/>
    <n v="11"/>
    <n v="42.16"/>
    <s v="Участник"/>
    <x v="3"/>
    <x v="2"/>
    <n v="42.16"/>
    <n v="90"/>
    <n v="0"/>
  </r>
  <r>
    <n v="16"/>
    <n v="11"/>
    <n v="41.38"/>
    <s v="Участник"/>
    <x v="3"/>
    <x v="2"/>
    <n v="41.38"/>
    <n v="90"/>
    <n v="0"/>
  </r>
  <r>
    <n v="17"/>
    <n v="11"/>
    <n v="39.94"/>
    <s v="Участник"/>
    <x v="3"/>
    <x v="2"/>
    <n v="39.94"/>
    <n v="90"/>
    <n v="0"/>
  </r>
  <r>
    <n v="18"/>
    <n v="11"/>
    <n v="38.65"/>
    <s v="Участник"/>
    <x v="3"/>
    <x v="2"/>
    <n v="38.65"/>
    <n v="90"/>
    <n v="0"/>
  </r>
  <r>
    <n v="19"/>
    <n v="11"/>
    <n v="38.65"/>
    <s v="Участник"/>
    <x v="3"/>
    <x v="2"/>
    <n v="38.65"/>
    <n v="90"/>
    <n v="0"/>
  </r>
  <r>
    <n v="20"/>
    <n v="11"/>
    <n v="38.08"/>
    <s v="Участник"/>
    <x v="3"/>
    <x v="2"/>
    <n v="38.08"/>
    <n v="90"/>
    <n v="0"/>
  </r>
  <r>
    <n v="21"/>
    <n v="11"/>
    <n v="36.69"/>
    <s v="Участник"/>
    <x v="3"/>
    <x v="2"/>
    <n v="36.69"/>
    <n v="90"/>
    <n v="0"/>
  </r>
  <r>
    <n v="22"/>
    <n v="11"/>
    <n v="35.71"/>
    <s v="Участник"/>
    <x v="3"/>
    <x v="2"/>
    <n v="35.71"/>
    <n v="90"/>
    <n v="0"/>
  </r>
  <r>
    <n v="23"/>
    <n v="11"/>
    <n v="33.950000000000003"/>
    <s v="Участник"/>
    <x v="3"/>
    <x v="2"/>
    <n v="33.950000000000003"/>
    <n v="90"/>
    <n v="0"/>
  </r>
  <r>
    <n v="24"/>
    <n v="11"/>
    <n v="29"/>
    <s v="Участник"/>
    <x v="3"/>
    <x v="2"/>
    <n v="29"/>
    <n v="90"/>
    <n v="0"/>
  </r>
  <r>
    <n v="25"/>
    <n v="11"/>
    <n v="28.38"/>
    <s v="Участник"/>
    <x v="3"/>
    <x v="2"/>
    <n v="28.38"/>
    <n v="90"/>
    <n v="0"/>
  </r>
  <r>
    <n v="26"/>
    <n v="11"/>
    <n v="24.56"/>
    <s v="Участник"/>
    <x v="3"/>
    <x v="2"/>
    <n v="24.56"/>
    <n v="90"/>
    <n v="0"/>
  </r>
  <r>
    <n v="27"/>
    <n v="11"/>
    <n v="23.01"/>
    <s v="Участник"/>
    <x v="3"/>
    <x v="2"/>
    <n v="23.01"/>
    <n v="90"/>
    <n v="0"/>
  </r>
  <r>
    <n v="28"/>
    <n v="11"/>
    <n v="21.83"/>
    <s v="Участник"/>
    <x v="3"/>
    <x v="2"/>
    <n v="21.83"/>
    <n v="90"/>
    <n v="0"/>
  </r>
  <r>
    <n v="29"/>
    <n v="11"/>
    <n v="21.26"/>
    <s v="Участник"/>
    <x v="3"/>
    <x v="2"/>
    <n v="21.26"/>
    <n v="90"/>
    <n v="0"/>
  </r>
  <r>
    <n v="30"/>
    <n v="11"/>
    <n v="0"/>
    <s v="Участник"/>
    <x v="3"/>
    <x v="2"/>
    <n v="0"/>
    <n v="90"/>
    <n v="0"/>
  </r>
  <r>
    <n v="1"/>
    <n v="9"/>
    <n v="137"/>
    <s v="Победитель"/>
    <x v="3"/>
    <x v="3"/>
    <n v="68.5"/>
    <n v="172"/>
    <n v="0"/>
  </r>
  <r>
    <n v="2"/>
    <n v="9"/>
    <n v="102"/>
    <s v="Победитель"/>
    <x v="3"/>
    <x v="3"/>
    <n v="51"/>
    <n v="172"/>
    <n v="0"/>
  </r>
  <r>
    <n v="3"/>
    <n v="9"/>
    <n v="99"/>
    <s v="Победитель"/>
    <x v="3"/>
    <x v="3"/>
    <n v="49.5"/>
    <n v="172"/>
    <n v="0"/>
  </r>
  <r>
    <n v="4"/>
    <n v="9"/>
    <n v="95"/>
    <s v="Призёр"/>
    <x v="3"/>
    <x v="3"/>
    <n v="47.5"/>
    <n v="172"/>
    <n v="0"/>
  </r>
  <r>
    <n v="5"/>
    <n v="9"/>
    <n v="95"/>
    <s v="Призёр"/>
    <x v="3"/>
    <x v="3"/>
    <n v="47.5"/>
    <n v="172"/>
    <n v="0"/>
  </r>
  <r>
    <n v="6"/>
    <n v="9"/>
    <n v="91"/>
    <s v="Призёр"/>
    <x v="3"/>
    <x v="3"/>
    <n v="45.5"/>
    <n v="172"/>
    <n v="0"/>
  </r>
  <r>
    <n v="7"/>
    <n v="9"/>
    <n v="88"/>
    <s v="Призёр"/>
    <x v="3"/>
    <x v="3"/>
    <n v="44"/>
    <n v="172"/>
    <n v="0"/>
  </r>
  <r>
    <n v="8"/>
    <n v="9"/>
    <n v="84"/>
    <s v="Призёр"/>
    <x v="3"/>
    <x v="3"/>
    <n v="42"/>
    <n v="172"/>
    <n v="0"/>
  </r>
  <r>
    <n v="9"/>
    <n v="9"/>
    <n v="83"/>
    <s v="Призёр"/>
    <x v="3"/>
    <x v="3"/>
    <n v="41.5"/>
    <n v="172"/>
    <n v="0"/>
  </r>
  <r>
    <n v="10"/>
    <n v="9"/>
    <n v="78"/>
    <s v="Призёр"/>
    <x v="3"/>
    <x v="3"/>
    <n v="39"/>
    <n v="172"/>
    <n v="0"/>
  </r>
  <r>
    <n v="11"/>
    <n v="9"/>
    <n v="75"/>
    <s v="Призёр"/>
    <x v="3"/>
    <x v="3"/>
    <n v="37.5"/>
    <n v="172"/>
    <n v="0"/>
  </r>
  <r>
    <n v="12"/>
    <n v="9"/>
    <n v="75"/>
    <s v="Призёр"/>
    <x v="3"/>
    <x v="3"/>
    <n v="37.5"/>
    <n v="172"/>
    <n v="0"/>
  </r>
  <r>
    <n v="13"/>
    <n v="9"/>
    <n v="73"/>
    <s v="Призёр"/>
    <x v="3"/>
    <x v="3"/>
    <n v="36.5"/>
    <n v="172"/>
    <n v="0"/>
  </r>
  <r>
    <n v="14"/>
    <n v="9"/>
    <n v="73"/>
    <s v="Призёр"/>
    <x v="3"/>
    <x v="3"/>
    <n v="36.5"/>
    <n v="172"/>
    <n v="0"/>
  </r>
  <r>
    <n v="15"/>
    <n v="9"/>
    <n v="73"/>
    <s v="Призёр"/>
    <x v="3"/>
    <x v="3"/>
    <n v="36.5"/>
    <n v="172"/>
    <n v="0"/>
  </r>
  <r>
    <n v="16"/>
    <n v="9"/>
    <n v="68"/>
    <s v="Участник"/>
    <x v="3"/>
    <x v="3"/>
    <n v="34"/>
    <n v="172"/>
    <n v="0"/>
  </r>
  <r>
    <n v="17"/>
    <n v="9"/>
    <n v="66"/>
    <s v="Участник"/>
    <x v="3"/>
    <x v="3"/>
    <n v="33"/>
    <n v="172"/>
    <n v="0"/>
  </r>
  <r>
    <n v="18"/>
    <n v="9"/>
    <n v="65"/>
    <s v="Участник"/>
    <x v="3"/>
    <x v="3"/>
    <n v="32.5"/>
    <n v="172"/>
    <n v="0"/>
  </r>
  <r>
    <n v="19"/>
    <n v="9"/>
    <n v="64"/>
    <s v="Участник"/>
    <x v="3"/>
    <x v="3"/>
    <n v="32"/>
    <n v="172"/>
    <n v="0"/>
  </r>
  <r>
    <n v="20"/>
    <n v="9"/>
    <n v="62"/>
    <s v="Участник"/>
    <x v="3"/>
    <x v="3"/>
    <n v="31"/>
    <n v="172"/>
    <n v="0"/>
  </r>
  <r>
    <n v="21"/>
    <n v="9"/>
    <n v="61"/>
    <s v="Участник"/>
    <x v="3"/>
    <x v="3"/>
    <n v="30.5"/>
    <n v="172"/>
    <n v="0"/>
  </r>
  <r>
    <n v="22"/>
    <n v="9"/>
    <n v="61"/>
    <s v="Участник"/>
    <x v="3"/>
    <x v="3"/>
    <n v="30.5"/>
    <n v="172"/>
    <n v="0"/>
  </r>
  <r>
    <n v="23"/>
    <n v="9"/>
    <n v="58"/>
    <s v="Участник"/>
    <x v="3"/>
    <x v="3"/>
    <n v="29"/>
    <n v="172"/>
    <n v="0"/>
  </r>
  <r>
    <n v="24"/>
    <n v="9"/>
    <n v="56"/>
    <s v="Участник"/>
    <x v="3"/>
    <x v="3"/>
    <n v="28"/>
    <n v="172"/>
    <n v="0"/>
  </r>
  <r>
    <n v="25"/>
    <n v="9"/>
    <n v="56"/>
    <s v="Участник"/>
    <x v="3"/>
    <x v="3"/>
    <n v="28"/>
    <n v="172"/>
    <n v="0"/>
  </r>
  <r>
    <n v="26"/>
    <n v="9"/>
    <n v="55"/>
    <s v="Участник"/>
    <x v="3"/>
    <x v="3"/>
    <n v="27.5"/>
    <n v="172"/>
    <n v="0"/>
  </r>
  <r>
    <n v="27"/>
    <n v="9"/>
    <n v="53"/>
    <s v="Участник"/>
    <x v="3"/>
    <x v="3"/>
    <n v="26.5"/>
    <n v="172"/>
    <n v="0"/>
  </r>
  <r>
    <n v="28"/>
    <n v="9"/>
    <n v="53"/>
    <s v="Участник"/>
    <x v="3"/>
    <x v="3"/>
    <n v="26.5"/>
    <n v="172"/>
    <n v="0"/>
  </r>
  <r>
    <n v="29"/>
    <n v="9"/>
    <n v="50"/>
    <s v="Участник"/>
    <x v="3"/>
    <x v="3"/>
    <n v="25"/>
    <n v="172"/>
    <n v="0"/>
  </r>
  <r>
    <n v="30"/>
    <n v="9"/>
    <n v="49"/>
    <s v="Участник"/>
    <x v="3"/>
    <x v="3"/>
    <n v="24.5"/>
    <n v="172"/>
    <n v="0"/>
  </r>
  <r>
    <n v="31"/>
    <n v="9"/>
    <n v="48"/>
    <s v="Участник"/>
    <x v="3"/>
    <x v="3"/>
    <n v="24"/>
    <n v="172"/>
    <n v="0"/>
  </r>
  <r>
    <n v="32"/>
    <n v="9"/>
    <n v="46"/>
    <s v="Участник"/>
    <x v="3"/>
    <x v="3"/>
    <n v="23"/>
    <n v="172"/>
    <n v="0"/>
  </r>
  <r>
    <n v="33"/>
    <n v="9"/>
    <n v="37"/>
    <s v="Участник"/>
    <x v="3"/>
    <x v="3"/>
    <n v="18.5"/>
    <n v="172"/>
    <n v="0"/>
  </r>
  <r>
    <n v="34"/>
    <n v="9"/>
    <n v="36"/>
    <s v="Участник"/>
    <x v="3"/>
    <x v="3"/>
    <n v="18"/>
    <n v="172"/>
    <n v="0"/>
  </r>
  <r>
    <n v="35"/>
    <n v="9"/>
    <n v="35"/>
    <s v="Участник"/>
    <x v="3"/>
    <x v="3"/>
    <n v="17.5"/>
    <n v="172"/>
    <n v="0"/>
  </r>
  <r>
    <n v="36"/>
    <n v="9"/>
    <n v="29"/>
    <s v="Участник"/>
    <x v="3"/>
    <x v="3"/>
    <n v="14.5"/>
    <n v="172"/>
    <n v="0"/>
  </r>
  <r>
    <n v="1"/>
    <n v="10"/>
    <n v="156"/>
    <s v="Победитель"/>
    <x v="3"/>
    <x v="3"/>
    <n v="78"/>
    <n v="182"/>
    <n v="0"/>
  </r>
  <r>
    <n v="2"/>
    <n v="10"/>
    <n v="138"/>
    <s v="Победитель"/>
    <x v="3"/>
    <x v="3"/>
    <n v="69"/>
    <n v="182"/>
    <n v="0"/>
  </r>
  <r>
    <n v="3"/>
    <n v="10"/>
    <n v="126"/>
    <s v="Победитель"/>
    <x v="3"/>
    <x v="3"/>
    <n v="63"/>
    <n v="182"/>
    <n v="0"/>
  </r>
  <r>
    <n v="4"/>
    <n v="10"/>
    <n v="119"/>
    <s v="Призёр"/>
    <x v="3"/>
    <x v="3"/>
    <n v="59.5"/>
    <n v="182"/>
    <n v="0"/>
  </r>
  <r>
    <n v="5"/>
    <n v="10"/>
    <n v="119"/>
    <s v="Призёр"/>
    <x v="3"/>
    <x v="3"/>
    <n v="59.5"/>
    <n v="182"/>
    <n v="0"/>
  </r>
  <r>
    <n v="6"/>
    <n v="10"/>
    <n v="115"/>
    <s v="Призёр"/>
    <x v="3"/>
    <x v="3"/>
    <n v="57.499999999999993"/>
    <n v="182"/>
    <n v="0"/>
  </r>
  <r>
    <n v="7"/>
    <n v="10"/>
    <n v="112"/>
    <s v="Призёр"/>
    <x v="3"/>
    <x v="3"/>
    <n v="56.000000000000007"/>
    <n v="182"/>
    <n v="0"/>
  </r>
  <r>
    <n v="8"/>
    <n v="10"/>
    <n v="108"/>
    <s v="Призёр"/>
    <x v="3"/>
    <x v="3"/>
    <n v="54"/>
    <n v="182"/>
    <n v="0"/>
  </r>
  <r>
    <n v="9"/>
    <n v="10"/>
    <n v="103"/>
    <s v="Призёр"/>
    <x v="3"/>
    <x v="3"/>
    <n v="51.5"/>
    <n v="182"/>
    <n v="0"/>
  </r>
  <r>
    <n v="10"/>
    <n v="10"/>
    <n v="102"/>
    <s v="Призёр"/>
    <x v="3"/>
    <x v="3"/>
    <n v="51"/>
    <n v="182"/>
    <n v="0"/>
  </r>
  <r>
    <n v="11"/>
    <n v="10"/>
    <n v="101"/>
    <s v="Призёр"/>
    <x v="3"/>
    <x v="3"/>
    <n v="50.5"/>
    <n v="182"/>
    <n v="0"/>
  </r>
  <r>
    <n v="12"/>
    <n v="10"/>
    <n v="98"/>
    <s v="Призёр"/>
    <x v="3"/>
    <x v="3"/>
    <n v="49"/>
    <n v="182"/>
    <n v="0"/>
  </r>
  <r>
    <n v="13"/>
    <n v="10"/>
    <n v="97"/>
    <s v="Призёр"/>
    <x v="3"/>
    <x v="3"/>
    <n v="48.5"/>
    <n v="182"/>
    <n v="0"/>
  </r>
  <r>
    <n v="14"/>
    <n v="10"/>
    <n v="94"/>
    <s v="Призёр"/>
    <x v="3"/>
    <x v="3"/>
    <n v="47"/>
    <n v="182"/>
    <n v="0"/>
  </r>
  <r>
    <n v="15"/>
    <n v="10"/>
    <n v="94"/>
    <s v="Призёр"/>
    <x v="3"/>
    <x v="3"/>
    <n v="47"/>
    <n v="182"/>
    <n v="0"/>
  </r>
  <r>
    <n v="16"/>
    <n v="10"/>
    <n v="93"/>
    <s v="Призёр"/>
    <x v="3"/>
    <x v="3"/>
    <n v="46.5"/>
    <n v="182"/>
    <n v="0"/>
  </r>
  <r>
    <n v="17"/>
    <n v="10"/>
    <n v="92"/>
    <s v="Призёр"/>
    <x v="3"/>
    <x v="3"/>
    <n v="46"/>
    <n v="182"/>
    <n v="0"/>
  </r>
  <r>
    <n v="18"/>
    <n v="10"/>
    <n v="85"/>
    <s v="Участник"/>
    <x v="3"/>
    <x v="3"/>
    <n v="42.5"/>
    <n v="182"/>
    <n v="0"/>
  </r>
  <r>
    <n v="19"/>
    <n v="10"/>
    <n v="84"/>
    <s v="Участник"/>
    <x v="3"/>
    <x v="3"/>
    <n v="42"/>
    <n v="182"/>
    <n v="0"/>
  </r>
  <r>
    <n v="20"/>
    <n v="10"/>
    <n v="81"/>
    <s v="Участник"/>
    <x v="3"/>
    <x v="3"/>
    <n v="40.5"/>
    <n v="182"/>
    <n v="0"/>
  </r>
  <r>
    <n v="21"/>
    <n v="10"/>
    <n v="80"/>
    <s v="Участник"/>
    <x v="3"/>
    <x v="3"/>
    <n v="40"/>
    <n v="182"/>
    <n v="0"/>
  </r>
  <r>
    <n v="22"/>
    <n v="10"/>
    <n v="78"/>
    <s v="Участник"/>
    <x v="3"/>
    <x v="3"/>
    <n v="39"/>
    <n v="182"/>
    <n v="0"/>
  </r>
  <r>
    <n v="23"/>
    <n v="10"/>
    <n v="77"/>
    <s v="Участник"/>
    <x v="3"/>
    <x v="3"/>
    <n v="38.5"/>
    <n v="182"/>
    <n v="0"/>
  </r>
  <r>
    <n v="24"/>
    <n v="10"/>
    <n v="77"/>
    <s v="Участник"/>
    <x v="3"/>
    <x v="3"/>
    <n v="38.5"/>
    <n v="182"/>
    <n v="0"/>
  </r>
  <r>
    <n v="25"/>
    <n v="10"/>
    <n v="77"/>
    <s v="Участник"/>
    <x v="3"/>
    <x v="3"/>
    <n v="38.5"/>
    <n v="182"/>
    <n v="0"/>
  </r>
  <r>
    <n v="26"/>
    <n v="10"/>
    <n v="71"/>
    <s v="Участник"/>
    <x v="3"/>
    <x v="3"/>
    <n v="35.5"/>
    <n v="182"/>
    <n v="0"/>
  </r>
  <r>
    <n v="27"/>
    <n v="10"/>
    <n v="68"/>
    <s v="Участник"/>
    <x v="3"/>
    <x v="3"/>
    <n v="34"/>
    <n v="182"/>
    <n v="0"/>
  </r>
  <r>
    <n v="28"/>
    <n v="10"/>
    <n v="68"/>
    <s v="Участник"/>
    <x v="3"/>
    <x v="3"/>
    <n v="34"/>
    <n v="182"/>
    <n v="0"/>
  </r>
  <r>
    <n v="29"/>
    <n v="10"/>
    <n v="68"/>
    <s v="Участник"/>
    <x v="3"/>
    <x v="3"/>
    <n v="34"/>
    <n v="182"/>
    <n v="0"/>
  </r>
  <r>
    <n v="30"/>
    <n v="10"/>
    <n v="64"/>
    <s v="Участник"/>
    <x v="3"/>
    <x v="3"/>
    <n v="32"/>
    <n v="182"/>
    <n v="0"/>
  </r>
  <r>
    <n v="31"/>
    <n v="10"/>
    <n v="64"/>
    <s v="Участник"/>
    <x v="3"/>
    <x v="3"/>
    <n v="32"/>
    <n v="182"/>
    <n v="0"/>
  </r>
  <r>
    <n v="32"/>
    <n v="10"/>
    <n v="63"/>
    <s v="Участник"/>
    <x v="3"/>
    <x v="3"/>
    <n v="31.5"/>
    <n v="182"/>
    <n v="0"/>
  </r>
  <r>
    <n v="33"/>
    <n v="10"/>
    <n v="59"/>
    <s v="Участник"/>
    <x v="3"/>
    <x v="3"/>
    <n v="29.5"/>
    <n v="182"/>
    <n v="0"/>
  </r>
  <r>
    <n v="34"/>
    <n v="10"/>
    <n v="59"/>
    <s v="Участник"/>
    <x v="3"/>
    <x v="3"/>
    <n v="29.5"/>
    <n v="182"/>
    <n v="0"/>
  </r>
  <r>
    <n v="35"/>
    <n v="10"/>
    <n v="54"/>
    <s v="Участник"/>
    <x v="3"/>
    <x v="3"/>
    <n v="27"/>
    <n v="182"/>
    <n v="0"/>
  </r>
  <r>
    <n v="36"/>
    <n v="10"/>
    <n v="51"/>
    <s v="Участник"/>
    <x v="3"/>
    <x v="3"/>
    <n v="25.5"/>
    <n v="182"/>
    <n v="0"/>
  </r>
  <r>
    <n v="37"/>
    <n v="10"/>
    <n v="51"/>
    <s v="Участник"/>
    <x v="3"/>
    <x v="3"/>
    <n v="25.5"/>
    <n v="182"/>
    <n v="0"/>
  </r>
  <r>
    <n v="38"/>
    <n v="10"/>
    <n v="47"/>
    <s v="Участник"/>
    <x v="3"/>
    <x v="3"/>
    <n v="23.5"/>
    <n v="182"/>
    <n v="0"/>
  </r>
  <r>
    <n v="39"/>
    <n v="10"/>
    <n v="43"/>
    <s v="Участник"/>
    <x v="3"/>
    <x v="3"/>
    <n v="21.5"/>
    <n v="182"/>
    <n v="0"/>
  </r>
  <r>
    <n v="40"/>
    <n v="10"/>
    <n v="39"/>
    <s v="Участник"/>
    <x v="3"/>
    <x v="3"/>
    <n v="19.5"/>
    <n v="182"/>
    <n v="0"/>
  </r>
  <r>
    <n v="1"/>
    <n v="11"/>
    <n v="135"/>
    <s v="Победитель"/>
    <x v="3"/>
    <x v="3"/>
    <n v="67.5"/>
    <n v="188"/>
    <n v="0"/>
  </r>
  <r>
    <n v="2"/>
    <n v="11"/>
    <n v="130"/>
    <s v="Победитель"/>
    <x v="3"/>
    <x v="3"/>
    <n v="65"/>
    <n v="188"/>
    <n v="0"/>
  </r>
  <r>
    <n v="3"/>
    <n v="11"/>
    <n v="130"/>
    <s v="Победитель"/>
    <x v="3"/>
    <x v="3"/>
    <n v="65"/>
    <n v="188"/>
    <n v="0"/>
  </r>
  <r>
    <n v="4"/>
    <n v="11"/>
    <n v="128"/>
    <s v="Победитель"/>
    <x v="3"/>
    <x v="3"/>
    <n v="64"/>
    <n v="188"/>
    <n v="0"/>
  </r>
  <r>
    <n v="5"/>
    <n v="11"/>
    <n v="124"/>
    <s v="Призёр"/>
    <x v="3"/>
    <x v="3"/>
    <n v="62"/>
    <n v="188"/>
    <n v="0"/>
  </r>
  <r>
    <n v="6"/>
    <n v="11"/>
    <n v="120"/>
    <s v="Призёр"/>
    <x v="3"/>
    <x v="3"/>
    <n v="60"/>
    <n v="188"/>
    <n v="0"/>
  </r>
  <r>
    <n v="7"/>
    <n v="11"/>
    <n v="106"/>
    <s v="Призёр"/>
    <x v="3"/>
    <x v="3"/>
    <n v="53"/>
    <n v="188"/>
    <n v="0"/>
  </r>
  <r>
    <n v="8"/>
    <n v="11"/>
    <n v="105"/>
    <s v="Призёр"/>
    <x v="3"/>
    <x v="3"/>
    <n v="52.5"/>
    <n v="188"/>
    <n v="0"/>
  </r>
  <r>
    <n v="9"/>
    <n v="11"/>
    <n v="104"/>
    <s v="Призёр"/>
    <x v="3"/>
    <x v="3"/>
    <n v="52"/>
    <n v="188"/>
    <n v="0"/>
  </r>
  <r>
    <n v="10"/>
    <n v="11"/>
    <n v="104"/>
    <s v="Призёр"/>
    <x v="3"/>
    <x v="3"/>
    <n v="52"/>
    <n v="188"/>
    <n v="0"/>
  </r>
  <r>
    <n v="11"/>
    <n v="11"/>
    <n v="103"/>
    <s v="Призёр"/>
    <x v="3"/>
    <x v="3"/>
    <n v="51.5"/>
    <n v="188"/>
    <n v="0"/>
  </r>
  <r>
    <n v="12"/>
    <n v="11"/>
    <n v="103"/>
    <s v="Призёр"/>
    <x v="3"/>
    <x v="3"/>
    <n v="51.5"/>
    <n v="188"/>
    <n v="0"/>
  </r>
  <r>
    <n v="13"/>
    <n v="11"/>
    <n v="103"/>
    <s v="Призёр"/>
    <x v="3"/>
    <x v="3"/>
    <n v="51.5"/>
    <n v="188"/>
    <n v="0"/>
  </r>
  <r>
    <n v="14"/>
    <n v="11"/>
    <n v="101"/>
    <s v="Призёр"/>
    <x v="3"/>
    <x v="3"/>
    <n v="50.5"/>
    <n v="188"/>
    <n v="0"/>
  </r>
  <r>
    <n v="15"/>
    <n v="11"/>
    <n v="101"/>
    <s v="Призёр"/>
    <x v="3"/>
    <x v="3"/>
    <n v="50.5"/>
    <n v="188"/>
    <n v="0"/>
  </r>
  <r>
    <n v="16"/>
    <n v="11"/>
    <n v="99"/>
    <s v="Призёр"/>
    <x v="3"/>
    <x v="3"/>
    <n v="49.5"/>
    <n v="188"/>
    <n v="0"/>
  </r>
  <r>
    <n v="17"/>
    <n v="11"/>
    <n v="99"/>
    <s v="Призёр"/>
    <x v="3"/>
    <x v="3"/>
    <n v="49.5"/>
    <n v="188"/>
    <n v="0"/>
  </r>
  <r>
    <n v="18"/>
    <n v="11"/>
    <n v="98"/>
    <s v="Призёр"/>
    <x v="3"/>
    <x v="3"/>
    <n v="49"/>
    <n v="188"/>
    <n v="0"/>
  </r>
  <r>
    <n v="19"/>
    <n v="11"/>
    <n v="98"/>
    <s v="Призёр"/>
    <x v="3"/>
    <x v="3"/>
    <n v="49"/>
    <n v="188"/>
    <n v="0"/>
  </r>
  <r>
    <n v="20"/>
    <n v="11"/>
    <n v="97"/>
    <s v="Участник"/>
    <x v="3"/>
    <x v="3"/>
    <n v="48.5"/>
    <n v="188"/>
    <n v="0"/>
  </r>
  <r>
    <n v="21"/>
    <n v="11"/>
    <n v="97"/>
    <s v="Участник"/>
    <x v="3"/>
    <x v="3"/>
    <n v="48.5"/>
    <n v="188"/>
    <n v="0"/>
  </r>
  <r>
    <n v="22"/>
    <n v="11"/>
    <n v="96"/>
    <s v="Участник"/>
    <x v="3"/>
    <x v="3"/>
    <n v="48"/>
    <n v="188"/>
    <n v="0"/>
  </r>
  <r>
    <n v="23"/>
    <n v="11"/>
    <n v="96"/>
    <s v="Участник"/>
    <x v="3"/>
    <x v="3"/>
    <n v="48"/>
    <n v="188"/>
    <n v="0"/>
  </r>
  <r>
    <n v="24"/>
    <n v="11"/>
    <n v="92"/>
    <s v="Участник"/>
    <x v="3"/>
    <x v="3"/>
    <n v="46"/>
    <n v="188"/>
    <n v="0"/>
  </r>
  <r>
    <n v="25"/>
    <n v="11"/>
    <n v="90"/>
    <s v="Участник"/>
    <x v="3"/>
    <x v="3"/>
    <n v="45"/>
    <n v="188"/>
    <n v="0"/>
  </r>
  <r>
    <n v="26"/>
    <n v="11"/>
    <n v="88"/>
    <s v="Участник"/>
    <x v="3"/>
    <x v="3"/>
    <n v="44"/>
    <n v="188"/>
    <n v="0"/>
  </r>
  <r>
    <n v="27"/>
    <n v="11"/>
    <n v="87"/>
    <s v="Участник"/>
    <x v="3"/>
    <x v="3"/>
    <n v="43.5"/>
    <n v="188"/>
    <n v="0"/>
  </r>
  <r>
    <n v="28"/>
    <n v="11"/>
    <n v="87"/>
    <s v="Участник"/>
    <x v="3"/>
    <x v="3"/>
    <n v="43.5"/>
    <n v="188"/>
    <n v="0"/>
  </r>
  <r>
    <n v="29"/>
    <n v="11"/>
    <n v="85"/>
    <s v="Участник"/>
    <x v="3"/>
    <x v="3"/>
    <n v="42.5"/>
    <n v="188"/>
    <n v="0"/>
  </r>
  <r>
    <n v="30"/>
    <n v="11"/>
    <n v="85"/>
    <s v="Участник"/>
    <x v="3"/>
    <x v="3"/>
    <n v="42.5"/>
    <n v="188"/>
    <n v="0"/>
  </r>
  <r>
    <n v="31"/>
    <n v="11"/>
    <n v="83"/>
    <s v="Участник"/>
    <x v="3"/>
    <x v="3"/>
    <n v="41.5"/>
    <n v="188"/>
    <n v="0"/>
  </r>
  <r>
    <n v="32"/>
    <n v="11"/>
    <n v="78"/>
    <s v="Участник"/>
    <x v="3"/>
    <x v="3"/>
    <n v="39"/>
    <n v="188"/>
    <n v="0"/>
  </r>
  <r>
    <n v="33"/>
    <n v="11"/>
    <n v="74"/>
    <s v="Участник"/>
    <x v="3"/>
    <x v="3"/>
    <n v="37"/>
    <n v="188"/>
    <n v="0"/>
  </r>
  <r>
    <n v="34"/>
    <n v="11"/>
    <n v="72"/>
    <s v="Участник"/>
    <x v="3"/>
    <x v="3"/>
    <n v="36"/>
    <n v="188"/>
    <n v="0"/>
  </r>
  <r>
    <n v="35"/>
    <n v="11"/>
    <n v="69"/>
    <s v="Участник"/>
    <x v="3"/>
    <x v="3"/>
    <n v="34.5"/>
    <n v="188"/>
    <n v="0"/>
  </r>
  <r>
    <n v="36"/>
    <n v="11"/>
    <n v="64"/>
    <s v="Участник"/>
    <x v="3"/>
    <x v="3"/>
    <n v="32"/>
    <n v="188"/>
    <n v="0"/>
  </r>
  <r>
    <n v="37"/>
    <n v="11"/>
    <n v="64"/>
    <s v="Участник"/>
    <x v="3"/>
    <x v="3"/>
    <n v="32"/>
    <n v="188"/>
    <n v="0"/>
  </r>
  <r>
    <n v="38"/>
    <n v="11"/>
    <n v="60"/>
    <s v="Участник"/>
    <x v="3"/>
    <x v="3"/>
    <n v="30"/>
    <n v="188"/>
    <n v="0"/>
  </r>
  <r>
    <n v="39"/>
    <n v="11"/>
    <n v="58"/>
    <s v="Участник"/>
    <x v="3"/>
    <x v="3"/>
    <n v="29"/>
    <n v="188"/>
    <n v="0"/>
  </r>
  <r>
    <n v="40"/>
    <n v="11"/>
    <n v="56"/>
    <s v="Участник"/>
    <x v="3"/>
    <x v="3"/>
    <n v="28"/>
    <n v="188"/>
    <n v="0"/>
  </r>
  <r>
    <n v="41"/>
    <n v="11"/>
    <n v="53"/>
    <s v="Участник"/>
    <x v="3"/>
    <x v="3"/>
    <n v="26.5"/>
    <n v="188"/>
    <n v="0"/>
  </r>
  <r>
    <n v="42"/>
    <n v="11"/>
    <n v="51"/>
    <s v="Участник"/>
    <x v="3"/>
    <x v="3"/>
    <n v="25.5"/>
    <n v="188"/>
    <n v="0"/>
  </r>
  <r>
    <n v="43"/>
    <n v="11"/>
    <n v="51"/>
    <s v="Участник"/>
    <x v="3"/>
    <x v="3"/>
    <n v="25.5"/>
    <n v="1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BFF3F-B194-4AB1-A6BF-66EE67801EEF}" name="Сводная таблица13" cacheId="0" applyNumberFormats="0" applyBorderFormats="0" applyFontFormats="0" applyPatternFormats="0" applyAlignmentFormats="0" applyWidthHeightFormats="1" dataCaption="Значения" updatedVersion="8" minRefreshableVersion="3" useAutoFormatting="1" colGrandTotals="0" itemPrintTitles="1" createdVersion="8" indent="0" outline="1" outlineData="1" multipleFieldFilters="0" chartFormat="1" rowHeaderCaption="Год" colHeaderCaption="">
  <location ref="K38:O44" firstHeaderRow="1" firstDataRow="2" firstDataCol="1"/>
  <pivotFields count="9">
    <pivotField showAll="0"/>
    <pivotField showAll="0"/>
    <pivotField numFmtId="2"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numFmtId="2"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>
      <x v="3"/>
    </i>
  </colItems>
  <dataFields count="1">
    <dataField name="Количество прошедших на всерос" fld="8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2A689-AFB1-4396-A363-4B87EB4D2B1C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 rowHeaderCaption="Предмет" colHeaderCaption="Года">
  <location ref="K30:P36" firstHeaderRow="1" firstDataRow="2" firstDataCol="1"/>
  <pivotFields count="9">
    <pivotField dataField="1" showAll="0"/>
    <pivotField showAll="0"/>
    <pivotField numFmtId="2"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2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 " fld="0" subtotal="count" baseField="0" baseItem="0"/>
  </dataFields>
  <formats count="10">
    <format dxfId="9">
      <pivotArea collapsedLevelsAreSubtotals="1" fieldPosition="0">
        <references count="1">
          <reference field="4" count="0"/>
        </references>
      </pivotArea>
    </format>
    <format dxfId="8">
      <pivotArea type="origin" dataOnly="0" labelOnly="1" outline="0" fieldPosition="0"/>
    </format>
    <format dxfId="7">
      <pivotArea field="5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A0558-FFC2-47AC-ACCB-ADC143F93050}" name="Сводная таблица1" cacheId="0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 chartFormat="8" rowHeaderCaption="Год" colHeaderCaption="">
  <location ref="K22:O27" firstHeaderRow="1" firstDataRow="2" firstDataCol="1"/>
  <pivotFields count="9">
    <pivotField showAll="0"/>
    <pivotField showAll="0"/>
    <pivotField numFmtId="2"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numFmtId="2"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>
      <x v="3"/>
    </i>
  </rowItems>
  <colFields count="1">
    <field x="4"/>
  </colFields>
  <colItems count="4">
    <i>
      <x/>
    </i>
    <i>
      <x v="1"/>
    </i>
    <i>
      <x v="2"/>
    </i>
    <i>
      <x v="3"/>
    </i>
  </colItems>
  <dataFields count="1">
    <dataField name="Доля прошедших на всерос от общего количества участников" fld="8" subtotal="average" baseField="5" baseItem="0"/>
  </dataFields>
  <formats count="35">
    <format dxfId="44">
      <pivotArea dataOnly="0" labelOnly="1" outline="0" fieldPosition="0">
        <references count="2">
          <reference field="4294967294" count="1">
            <x v="0"/>
          </reference>
          <reference field="4" count="1" selected="0">
            <x v="0"/>
          </reference>
        </references>
      </pivotArea>
    </format>
    <format dxfId="43">
      <pivotArea dataOnly="0" labelOnly="1" outline="0" fieldPosition="0">
        <references count="2">
          <reference field="4294967294" count="1">
            <x v="0"/>
          </reference>
          <reference field="4" count="1" selected="0">
            <x v="1"/>
          </reference>
        </references>
      </pivotArea>
    </format>
    <format dxfId="42">
      <pivotArea dataOnly="0" labelOnly="1" outline="0" fieldPosition="0">
        <references count="2">
          <reference field="4294967294" count="1">
            <x v="0"/>
          </reference>
          <reference field="4" count="1" selected="0">
            <x v="2"/>
          </reference>
        </references>
      </pivotArea>
    </format>
    <format dxfId="41">
      <pivotArea dataOnly="0" labelOnly="1" outline="0" fieldPosition="0">
        <references count="2">
          <reference field="4294967294" count="1">
            <x v="0"/>
          </reference>
          <reference field="4" count="1" selected="0">
            <x v="3"/>
          </reference>
        </references>
      </pivotArea>
    </format>
    <format dxfId="40">
      <pivotArea dataOnly="0" labelOnly="1" outline="0" fieldPosition="0">
        <references count="2">
          <reference field="4294967294" count="1">
            <x v="0"/>
          </reference>
          <reference field="4" count="1" selected="0">
            <x v="1"/>
          </reference>
        </references>
      </pivotArea>
    </format>
    <format dxfId="39">
      <pivotArea dataOnly="0" labelOnly="1" outline="0" fieldPosition="0">
        <references count="2">
          <reference field="4294967294" count="1">
            <x v="0"/>
          </reference>
          <reference field="4" count="1" selected="0">
            <x v="2"/>
          </reference>
        </references>
      </pivotArea>
    </format>
    <format dxfId="38">
      <pivotArea outline="0" collapsedLevelsAreSubtotals="1" fieldPosition="0"/>
    </format>
    <format dxfId="37">
      <pivotArea dataOnly="0" labelOnly="1" outline="0" fieldPosition="0">
        <references count="2">
          <reference field="4294967294" count="1">
            <x v="0"/>
          </reference>
          <reference field="4" count="1" selected="0">
            <x v="0"/>
          </reference>
        </references>
      </pivotArea>
    </format>
    <format dxfId="36">
      <pivotArea dataOnly="0" labelOnly="1" outline="0" fieldPosition="0">
        <references count="2">
          <reference field="4294967294" count="1">
            <x v="0"/>
          </reference>
          <reference field="4" count="1" selected="0">
            <x v="1"/>
          </reference>
        </references>
      </pivotArea>
    </format>
    <format dxfId="35">
      <pivotArea dataOnly="0" labelOnly="1" outline="0" fieldPosition="0">
        <references count="2">
          <reference field="4294967294" count="1">
            <x v="0"/>
          </reference>
          <reference field="4" count="1" selected="0">
            <x v="2"/>
          </reference>
        </references>
      </pivotArea>
    </format>
    <format dxfId="34">
      <pivotArea dataOnly="0" labelOnly="1" outline="0" fieldPosition="0">
        <references count="2">
          <reference field="4294967294" count="1">
            <x v="0"/>
          </reference>
          <reference field="4" count="1" selected="0">
            <x v="3"/>
          </reference>
        </references>
      </pivotArea>
    </format>
    <format dxfId="33">
      <pivotArea outline="0" collapsedLevelsAreSubtotals="1" fieldPosition="0"/>
    </format>
    <format dxfId="32">
      <pivotArea dataOnly="0" labelOnly="1" outline="0" fieldPosition="0">
        <references count="2">
          <reference field="4294967294" count="1">
            <x v="0"/>
          </reference>
          <reference field="4" count="1" selected="0">
            <x v="0"/>
          </reference>
        </references>
      </pivotArea>
    </format>
    <format dxfId="31">
      <pivotArea dataOnly="0" labelOnly="1" outline="0" fieldPosition="0">
        <references count="2">
          <reference field="4294967294" count="1">
            <x v="0"/>
          </reference>
          <reference field="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1">
            <x v="0"/>
          </reference>
          <reference field="4" count="1" selected="0">
            <x v="2"/>
          </reference>
        </references>
      </pivotArea>
    </format>
    <format dxfId="29">
      <pivotArea dataOnly="0" labelOnly="1" outline="0" fieldPosition="0">
        <references count="2">
          <reference field="4294967294" count="1">
            <x v="0"/>
          </reference>
          <reference field="4" count="1" selected="0">
            <x v="3"/>
          </reference>
        </references>
      </pivotArea>
    </format>
    <format dxfId="28">
      <pivotArea dataOnly="0" labelOnly="1" fieldPosition="0">
        <references count="1">
          <reference field="4" count="1">
            <x v="0"/>
          </reference>
        </references>
      </pivotArea>
    </format>
    <format dxfId="27">
      <pivotArea dataOnly="0" labelOnly="1" fieldPosition="0">
        <references count="1">
          <reference field="4" count="1">
            <x v="1"/>
          </reference>
        </references>
      </pivotArea>
    </format>
    <format dxfId="26">
      <pivotArea dataOnly="0" labelOnly="1" fieldPosition="0">
        <references count="1">
          <reference field="4" count="1">
            <x v="2"/>
          </reference>
        </references>
      </pivotArea>
    </format>
    <format dxfId="25">
      <pivotArea dataOnly="0" labelOnly="1" fieldPosition="0">
        <references count="1">
          <reference field="4" count="1">
            <x v="3"/>
          </reference>
        </references>
      </pivotArea>
    </format>
    <format dxfId="24">
      <pivotArea type="origin" dataOnly="0" labelOnly="1" outline="0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0"/>
        </references>
      </pivotArea>
    </format>
    <format dxfId="21">
      <pivotArea dataOnly="0" labelOnly="1" fieldPosition="0">
        <references count="1">
          <reference field="5" count="0"/>
        </references>
      </pivotArea>
    </format>
    <format dxfId="20">
      <pivotArea field="4" type="button" dataOnly="0" labelOnly="1" outline="0" axis="axisCol" fieldPosition="0"/>
    </format>
    <format dxfId="19">
      <pivotArea field="-2" type="button" dataOnly="0" labelOnly="1" outline="0" axis="axisValues" fieldPosition="0"/>
    </format>
    <format dxfId="18">
      <pivotArea type="topRight" dataOnly="0" labelOnly="1" outline="0" fieldPosition="0"/>
    </format>
    <format dxfId="17">
      <pivotArea dataOnly="0" labelOnly="1" outline="0" fieldPosition="0">
        <references count="2">
          <reference field="4294967294" count="1">
            <x v="0"/>
          </reference>
          <reference field="4" count="1" selected="0">
            <x v="3"/>
          </reference>
        </references>
      </pivotArea>
    </format>
    <format dxfId="16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format>
    <format dxfId="14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format>
    <format dxfId="13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format>
    <format dxfId="12">
      <pivotArea dataOnly="0" labelOnly="1" outline="0" fieldPosition="0">
        <references count="2">
          <reference field="4294967294" count="1">
            <x v="0"/>
          </reference>
          <reference field="4" count="1" selected="0">
            <x v="0"/>
          </reference>
        </references>
      </pivotArea>
    </format>
    <format dxfId="11">
      <pivotArea type="origin" dataOnly="0" labelOnly="1" outline="0" fieldPosition="0"/>
    </format>
    <format dxfId="10">
      <pivotArea type="origin" dataOnly="0" labelOnly="1" outline="0" fieldPosition="0"/>
    </format>
  </format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1"/>
  <sheetViews>
    <sheetView tabSelected="1" zoomScale="85" zoomScaleNormal="85" workbookViewId="0">
      <selection activeCell="I30" sqref="I30"/>
    </sheetView>
  </sheetViews>
  <sheetFormatPr defaultRowHeight="14.4" x14ac:dyDescent="0.3"/>
  <cols>
    <col min="3" max="3" width="8.88671875" style="4"/>
    <col min="4" max="4" width="14.44140625" customWidth="1"/>
    <col min="7" max="7" width="20" style="4" customWidth="1"/>
    <col min="8" max="8" width="21.6640625" customWidth="1"/>
    <col min="9" max="9" width="20.5546875" customWidth="1"/>
    <col min="10" max="10" width="26.77734375" customWidth="1"/>
    <col min="11" max="11" width="33.21875" bestFit="1" customWidth="1"/>
    <col min="12" max="12" width="9.6640625" bestFit="1" customWidth="1"/>
    <col min="13" max="13" width="11.21875" bestFit="1" customWidth="1"/>
    <col min="14" max="14" width="11.77734375" bestFit="1" customWidth="1"/>
    <col min="15" max="15" width="9.88671875" bestFit="1" customWidth="1"/>
    <col min="16" max="16" width="12" bestFit="1" customWidth="1"/>
    <col min="17" max="17" width="22.88671875" customWidth="1"/>
    <col min="18" max="18" width="21.5546875" customWidth="1"/>
    <col min="19" max="19" width="11.77734375" customWidth="1"/>
    <col min="20" max="21" width="5.109375" bestFit="1" customWidth="1"/>
    <col min="22" max="22" width="12" bestFit="1" customWidth="1"/>
  </cols>
  <sheetData>
    <row r="1" spans="1:15" ht="57.6" x14ac:dyDescent="0.3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18</v>
      </c>
      <c r="J1" s="6" t="s">
        <v>22</v>
      </c>
      <c r="K1" s="21" t="s">
        <v>23</v>
      </c>
      <c r="L1" s="7">
        <v>2022</v>
      </c>
      <c r="M1" s="7">
        <v>2023</v>
      </c>
      <c r="N1" s="8">
        <v>2024</v>
      </c>
      <c r="O1" s="7">
        <v>2025</v>
      </c>
    </row>
    <row r="2" spans="1:15" x14ac:dyDescent="0.3">
      <c r="A2">
        <v>1</v>
      </c>
      <c r="B2">
        <v>9</v>
      </c>
      <c r="C2" s="4">
        <v>77</v>
      </c>
      <c r="D2" t="s">
        <v>8</v>
      </c>
      <c r="E2" t="s">
        <v>9</v>
      </c>
      <c r="F2">
        <v>2022</v>
      </c>
      <c r="G2" s="4">
        <v>77</v>
      </c>
      <c r="H2">
        <v>66.7</v>
      </c>
      <c r="I2">
        <f>IF(C2&gt;=H2,1,0)</f>
        <v>1</v>
      </c>
      <c r="K2" s="7" t="s">
        <v>19</v>
      </c>
      <c r="L2" s="9">
        <f t="array" ref="L2">MEDIAN(IF((E:E="биология")*(B:B=9)*(F:F=2022),G:G))</f>
        <v>41.3</v>
      </c>
      <c r="M2" s="9">
        <f t="array" ref="M2">MEDIAN(IF((E:E="биология")*(B:B=9)*(F:F=2023),G:G))</f>
        <v>40.700000000000003</v>
      </c>
      <c r="N2" s="10" cm="1">
        <f t="array" ref="N2">MEDIAN(IF((E:E="биология")*(B:B=9)*(F:F=2024),G:G))</f>
        <v>30.75</v>
      </c>
      <c r="O2" s="9">
        <f t="array" ref="O2">MEDIAN(IF((E:E="биология")*(B:B=9)*(F:F=2025),G:G))</f>
        <v>37.019230769230766</v>
      </c>
    </row>
    <row r="3" spans="1:15" x14ac:dyDescent="0.3">
      <c r="A3">
        <v>2</v>
      </c>
      <c r="B3">
        <v>9</v>
      </c>
      <c r="C3" s="4">
        <v>60.3</v>
      </c>
      <c r="D3" t="s">
        <v>10</v>
      </c>
      <c r="E3" t="s">
        <v>9</v>
      </c>
      <c r="F3">
        <v>2022</v>
      </c>
      <c r="G3" s="4">
        <v>60.3</v>
      </c>
      <c r="H3">
        <v>66.7</v>
      </c>
      <c r="I3">
        <f t="shared" ref="I3:I66" si="0">IF(C3&gt;=H3,1,0)</f>
        <v>0</v>
      </c>
      <c r="K3" s="7" t="s">
        <v>20</v>
      </c>
      <c r="L3" s="9">
        <f t="array" ref="L3">MEDIAN(IF((E:E="биология")*(B:B=10)*(F:F=2022),G:G))</f>
        <v>45.4</v>
      </c>
      <c r="M3" s="9">
        <f t="array" ref="M3">MEDIAN(IF((E:E="биология")*(B:B=10)*(F:F=2023),G:G))</f>
        <v>41.8</v>
      </c>
      <c r="N3" s="11">
        <f t="array" ref="N3">MEDIAN(IF((E:E="биология")*(B:B=10)*(F:F=2024),G:G))</f>
        <v>34.75</v>
      </c>
      <c r="O3" s="9">
        <f t="array" ref="O3">MEDIAN(IF((E:E="биология")*(B:B=10)*(F:F=2025),G:G))</f>
        <v>34.935897435897431</v>
      </c>
    </row>
    <row r="4" spans="1:15" x14ac:dyDescent="0.3">
      <c r="A4">
        <v>3</v>
      </c>
      <c r="B4">
        <v>9</v>
      </c>
      <c r="C4" s="4">
        <v>58.3</v>
      </c>
      <c r="D4" t="s">
        <v>10</v>
      </c>
      <c r="E4" t="s">
        <v>9</v>
      </c>
      <c r="F4">
        <v>2022</v>
      </c>
      <c r="G4" s="4">
        <v>58.3</v>
      </c>
      <c r="H4">
        <v>66.7</v>
      </c>
      <c r="I4">
        <f t="shared" si="0"/>
        <v>0</v>
      </c>
      <c r="K4" s="7" t="s">
        <v>21</v>
      </c>
      <c r="L4" s="9">
        <f t="array" ref="L4">MEDIAN(IF((E:E="биология")*(B:B=11)*(F:F=2022),G:G))</f>
        <v>38.799999999999997</v>
      </c>
      <c r="M4" s="9">
        <f t="array" ref="M4">MEDIAN(IF((E:E="биология")*(B:B=11)*(F:F=2023),G:G))</f>
        <v>34.85</v>
      </c>
      <c r="N4" s="13">
        <f t="array" ref="N4">MEDIAN(IF((E:E="биология")*(B:B=11)*(F:F=2024),G:G))</f>
        <v>37.099999999999994</v>
      </c>
      <c r="O4" s="9">
        <f t="array" ref="O4">MEDIAN(IF((E:E="биология")*(B:B=11)*(F:F=2025),G:G))</f>
        <v>35.769230769230766</v>
      </c>
    </row>
    <row r="5" spans="1:15" x14ac:dyDescent="0.3">
      <c r="A5">
        <v>4</v>
      </c>
      <c r="B5">
        <v>9</v>
      </c>
      <c r="C5" s="4">
        <v>57.2</v>
      </c>
      <c r="D5" t="s">
        <v>10</v>
      </c>
      <c r="E5" t="s">
        <v>9</v>
      </c>
      <c r="F5">
        <v>2022</v>
      </c>
      <c r="G5" s="4">
        <v>57.2</v>
      </c>
      <c r="H5">
        <v>66.7</v>
      </c>
      <c r="I5">
        <f t="shared" si="0"/>
        <v>0</v>
      </c>
    </row>
    <row r="6" spans="1:15" ht="28.8" x14ac:dyDescent="0.3">
      <c r="A6">
        <v>5</v>
      </c>
      <c r="B6">
        <v>9</v>
      </c>
      <c r="C6" s="4">
        <v>54</v>
      </c>
      <c r="D6" t="s">
        <v>10</v>
      </c>
      <c r="E6" t="s">
        <v>9</v>
      </c>
      <c r="F6">
        <v>2022</v>
      </c>
      <c r="G6" s="4">
        <v>54</v>
      </c>
      <c r="H6">
        <v>66.7</v>
      </c>
      <c r="I6">
        <f t="shared" si="0"/>
        <v>0</v>
      </c>
      <c r="K6" s="21" t="s">
        <v>24</v>
      </c>
      <c r="L6" s="7">
        <v>2022</v>
      </c>
      <c r="M6" s="7">
        <v>2023</v>
      </c>
      <c r="N6" s="8">
        <v>2024</v>
      </c>
      <c r="O6" s="7">
        <v>2025</v>
      </c>
    </row>
    <row r="7" spans="1:15" x14ac:dyDescent="0.3">
      <c r="A7">
        <v>6</v>
      </c>
      <c r="B7">
        <v>9</v>
      </c>
      <c r="C7" s="4">
        <v>50.4</v>
      </c>
      <c r="D7" t="s">
        <v>11</v>
      </c>
      <c r="E7" t="s">
        <v>9</v>
      </c>
      <c r="F7">
        <v>2022</v>
      </c>
      <c r="G7" s="4">
        <v>50.4</v>
      </c>
      <c r="H7">
        <v>66.7</v>
      </c>
      <c r="I7">
        <f t="shared" si="0"/>
        <v>0</v>
      </c>
      <c r="K7" s="7" t="s">
        <v>19</v>
      </c>
      <c r="L7" s="9">
        <f t="array" ref="L7">MEDIAN(IF((E:E="литература")*(B:B=9)*(F:F=2022),G:G))</f>
        <v>56.999999999999993</v>
      </c>
      <c r="M7" s="9">
        <f t="array" ref="M7">MEDIAN(IF((E:E="литература")*(B:B=9)*(F:F=2023),G:G))</f>
        <v>56.999999999999993</v>
      </c>
      <c r="N7" s="10">
        <f t="array" ref="N7">MEDIAN(IF((E:E="литература")*(B:B=9)*(F:F=2024),G:G))</f>
        <v>49.5</v>
      </c>
      <c r="O7" s="9">
        <f t="array" ref="O7">MEDIAN(IF((E:E="литература")*(B:B=9)*(F:F=2025),G:G))</f>
        <v>62.16</v>
      </c>
    </row>
    <row r="8" spans="1:15" x14ac:dyDescent="0.3">
      <c r="A8">
        <v>7</v>
      </c>
      <c r="B8">
        <v>9</v>
      </c>
      <c r="C8" s="4">
        <v>50.3</v>
      </c>
      <c r="D8" t="s">
        <v>11</v>
      </c>
      <c r="E8" t="s">
        <v>9</v>
      </c>
      <c r="F8">
        <v>2022</v>
      </c>
      <c r="G8" s="4">
        <v>50.3</v>
      </c>
      <c r="H8">
        <v>66.7</v>
      </c>
      <c r="I8">
        <f t="shared" si="0"/>
        <v>0</v>
      </c>
      <c r="K8" s="7" t="s">
        <v>20</v>
      </c>
      <c r="L8" s="9">
        <f t="array" ref="L8">MEDIAN(IF((E:E="литература")*(B:B=10)*(F:F=2022),G:G))</f>
        <v>59</v>
      </c>
      <c r="M8" s="9">
        <f t="array" ref="M8">MEDIAN(IF((E:E="литература")*(B:B=10)*(F:F=2023),G:G))</f>
        <v>64</v>
      </c>
      <c r="N8" s="11">
        <f t="array" ref="N8">MEDIAN(IF((E:E="литература")*(B:B=10)*(F:F=2024),G:G))</f>
        <v>56.999999999999993</v>
      </c>
      <c r="O8" s="9">
        <f t="array" ref="O8">MEDIAN(IF((E:E="литература")*(B:B=10)*(F:F=2025),G:G))</f>
        <v>38.174999999999997</v>
      </c>
    </row>
    <row r="9" spans="1:15" x14ac:dyDescent="0.3">
      <c r="A9">
        <v>8</v>
      </c>
      <c r="B9">
        <v>9</v>
      </c>
      <c r="C9" s="4">
        <v>47.7</v>
      </c>
      <c r="D9" t="s">
        <v>11</v>
      </c>
      <c r="E9" t="s">
        <v>9</v>
      </c>
      <c r="F9">
        <v>2022</v>
      </c>
      <c r="G9" s="4">
        <v>47.7</v>
      </c>
      <c r="H9">
        <v>66.7</v>
      </c>
      <c r="I9">
        <f t="shared" si="0"/>
        <v>0</v>
      </c>
      <c r="K9" s="7" t="s">
        <v>21</v>
      </c>
      <c r="L9" s="9">
        <f t="array" ref="L9">MEDIAN(IF((E:E="литература")*(B:B=11)*(F:F=2022),G:G))</f>
        <v>65</v>
      </c>
      <c r="M9" s="9">
        <f t="array" ref="M9">MEDIAN(IF((E:E="литература")*(B:B=11)*(F:F=2023),G:G))</f>
        <v>50.5</v>
      </c>
      <c r="N9" s="13">
        <f t="array" ref="N9">MEDIAN(IF((E:E="литература")*(B:B=11)*(F:F=2024),G:G))</f>
        <v>51</v>
      </c>
      <c r="O9" s="9">
        <f t="array" ref="O9">MEDIAN(IF((E:E="литература")*(B:B=11)*(F:F=2025),G:G))</f>
        <v>58.109999999999992</v>
      </c>
    </row>
    <row r="10" spans="1:15" x14ac:dyDescent="0.3">
      <c r="A10">
        <v>9</v>
      </c>
      <c r="B10">
        <v>9</v>
      </c>
      <c r="C10" s="4">
        <v>47.3</v>
      </c>
      <c r="D10" t="s">
        <v>11</v>
      </c>
      <c r="E10" t="s">
        <v>9</v>
      </c>
      <c r="F10">
        <v>2022</v>
      </c>
      <c r="G10" s="4">
        <v>47.3</v>
      </c>
      <c r="H10">
        <v>66.7</v>
      </c>
      <c r="I10">
        <f t="shared" si="0"/>
        <v>0</v>
      </c>
    </row>
    <row r="11" spans="1:15" ht="28.8" x14ac:dyDescent="0.3">
      <c r="A11">
        <v>10</v>
      </c>
      <c r="B11">
        <v>9</v>
      </c>
      <c r="C11" s="4">
        <v>46.4</v>
      </c>
      <c r="D11" t="s">
        <v>11</v>
      </c>
      <c r="E11" t="s">
        <v>9</v>
      </c>
      <c r="F11">
        <v>2022</v>
      </c>
      <c r="G11" s="4">
        <v>46.4</v>
      </c>
      <c r="H11">
        <v>66.7</v>
      </c>
      <c r="I11">
        <f t="shared" si="0"/>
        <v>0</v>
      </c>
      <c r="K11" s="21" t="s">
        <v>25</v>
      </c>
      <c r="L11" s="7">
        <v>2022</v>
      </c>
      <c r="M11" s="7">
        <v>2023</v>
      </c>
      <c r="N11" s="8">
        <v>2024</v>
      </c>
      <c r="O11" s="7">
        <v>2025</v>
      </c>
    </row>
    <row r="12" spans="1:15" x14ac:dyDescent="0.3">
      <c r="A12">
        <v>11</v>
      </c>
      <c r="B12">
        <v>9</v>
      </c>
      <c r="C12" s="4">
        <v>41.3</v>
      </c>
      <c r="D12" t="s">
        <v>11</v>
      </c>
      <c r="E12" t="s">
        <v>9</v>
      </c>
      <c r="F12">
        <v>2022</v>
      </c>
      <c r="G12" s="4">
        <v>41.3</v>
      </c>
      <c r="H12">
        <v>66.7</v>
      </c>
      <c r="I12">
        <f t="shared" si="0"/>
        <v>0</v>
      </c>
      <c r="K12" s="7" t="s">
        <v>19</v>
      </c>
      <c r="L12" s="9">
        <f t="array" ref="L12">MEDIAN(IF((E:E="математика")*(B:B=9)*(F:F=2022),G:G))</f>
        <v>30</v>
      </c>
      <c r="M12" s="11" cm="1">
        <f t="array" ref="M12">MEDIAN(IF((E:E="математика")*(B:B=9)*(F:F=2023),G:G))</f>
        <v>2.8571428571428572</v>
      </c>
      <c r="N12" s="14">
        <f t="array" ref="N12">MEDIAN(IF((E:E="математика")*(B:B=9)*(F:F=2024),G:G))</f>
        <v>9.2857142857142847</v>
      </c>
      <c r="O12" s="13">
        <f t="array" ref="O12">MEDIAN(IF((E:E="математика")*(B:B=9)*(F:F=2025),G:G))</f>
        <v>27.142857142857139</v>
      </c>
    </row>
    <row r="13" spans="1:15" x14ac:dyDescent="0.3">
      <c r="A13">
        <v>12</v>
      </c>
      <c r="B13">
        <v>9</v>
      </c>
      <c r="C13" s="4">
        <v>41.1</v>
      </c>
      <c r="D13" t="s">
        <v>11</v>
      </c>
      <c r="E13" t="s">
        <v>9</v>
      </c>
      <c r="F13">
        <v>2022</v>
      </c>
      <c r="G13" s="4">
        <v>41.1</v>
      </c>
      <c r="H13">
        <v>66.7</v>
      </c>
      <c r="I13">
        <f t="shared" si="0"/>
        <v>0</v>
      </c>
      <c r="K13" s="7" t="s">
        <v>20</v>
      </c>
      <c r="L13" s="9">
        <f t="array" ref="L13">MEDIAN(IF((E:E="математика")*(B:B=10)*(F:F=2022),G:G))</f>
        <v>42.857142857142847</v>
      </c>
      <c r="M13" s="9">
        <f t="array" ref="M13">MEDIAN(IF((E:E="математика")*(B:B=10)*(F:F=2023),G:G))</f>
        <v>22.857142857142861</v>
      </c>
      <c r="N13" s="9">
        <f t="array" ref="N13">MEDIAN(IF((E:E="математика")*(B:B=10)*(F:F=2024),G:G))</f>
        <v>30</v>
      </c>
      <c r="O13" s="9">
        <f t="array" ref="O13">MEDIAN(IF((E:E="математика")*(B:B=10)*(F:F=2025),G:G))</f>
        <v>22.857142857142861</v>
      </c>
    </row>
    <row r="14" spans="1:15" x14ac:dyDescent="0.3">
      <c r="A14">
        <v>13</v>
      </c>
      <c r="B14">
        <v>9</v>
      </c>
      <c r="C14" s="4">
        <v>40.299999999999997</v>
      </c>
      <c r="D14" t="s">
        <v>11</v>
      </c>
      <c r="E14" t="s">
        <v>9</v>
      </c>
      <c r="F14">
        <v>2022</v>
      </c>
      <c r="G14" s="4">
        <v>40.299999999999997</v>
      </c>
      <c r="H14">
        <v>66.7</v>
      </c>
      <c r="I14">
        <f t="shared" si="0"/>
        <v>0</v>
      </c>
      <c r="K14" s="7" t="s">
        <v>21</v>
      </c>
      <c r="L14" s="9">
        <f t="array" ref="L14">MEDIAN(IF((E:E="математика")*(B:B=11)*(F:F=2022),G:G))</f>
        <v>39.285714285714292</v>
      </c>
      <c r="M14" s="9">
        <f t="array" ref="M14">MEDIAN(IF((E:E="математика")*(B:B=11)*(F:F=2023),G:G))</f>
        <v>20</v>
      </c>
      <c r="N14" s="13">
        <f t="array" ref="N14">MEDIAN(IF((E:E="математика")*(B:B=11)*(F:F=2024),G:G))</f>
        <v>38.571428571428577</v>
      </c>
      <c r="O14" s="9">
        <f t="array" ref="O14">MEDIAN(IF((E:E="математика")*(B:B=11)*(F:F=2025),G:G))</f>
        <v>31.428571428571431</v>
      </c>
    </row>
    <row r="15" spans="1:15" x14ac:dyDescent="0.3">
      <c r="A15">
        <v>14</v>
      </c>
      <c r="B15">
        <v>9</v>
      </c>
      <c r="C15" s="4">
        <v>35.799999999999997</v>
      </c>
      <c r="D15" t="s">
        <v>11</v>
      </c>
      <c r="E15" t="s">
        <v>9</v>
      </c>
      <c r="F15">
        <v>2022</v>
      </c>
      <c r="G15" s="4">
        <v>35.799999999999997</v>
      </c>
      <c r="H15">
        <v>66.7</v>
      </c>
      <c r="I15">
        <f t="shared" si="0"/>
        <v>0</v>
      </c>
    </row>
    <row r="16" spans="1:15" ht="28.8" x14ac:dyDescent="0.3">
      <c r="A16">
        <v>15</v>
      </c>
      <c r="B16">
        <v>9</v>
      </c>
      <c r="C16" s="4">
        <v>34.9</v>
      </c>
      <c r="D16" t="s">
        <v>11</v>
      </c>
      <c r="E16" t="s">
        <v>9</v>
      </c>
      <c r="F16">
        <v>2022</v>
      </c>
      <c r="G16" s="4">
        <v>34.9</v>
      </c>
      <c r="H16">
        <v>66.7</v>
      </c>
      <c r="I16">
        <f t="shared" si="0"/>
        <v>0</v>
      </c>
      <c r="K16" s="21" t="s">
        <v>26</v>
      </c>
      <c r="L16" s="7">
        <v>2022</v>
      </c>
      <c r="M16" s="7">
        <v>2023</v>
      </c>
      <c r="N16" s="8">
        <v>2024</v>
      </c>
      <c r="O16" s="7">
        <v>2025</v>
      </c>
    </row>
    <row r="17" spans="1:16" x14ac:dyDescent="0.3">
      <c r="A17">
        <v>16</v>
      </c>
      <c r="B17">
        <v>9</v>
      </c>
      <c r="C17" s="4">
        <v>28.9</v>
      </c>
      <c r="D17" t="s">
        <v>11</v>
      </c>
      <c r="E17" t="s">
        <v>9</v>
      </c>
      <c r="F17">
        <v>2022</v>
      </c>
      <c r="G17" s="4">
        <v>28.9</v>
      </c>
      <c r="H17">
        <v>66.7</v>
      </c>
      <c r="I17">
        <f t="shared" si="0"/>
        <v>0</v>
      </c>
      <c r="K17" s="7" t="s">
        <v>19</v>
      </c>
      <c r="L17" s="9" cm="1">
        <f t="array" ref="L17">MEDIAN(IF((E:E="общество")*(B:B=9)*(F:F=2022),G:G))</f>
        <v>34</v>
      </c>
      <c r="M17" s="9">
        <f t="array" ref="M17">MEDIAN(IF((E:E="общество")*(B:B=9)*(F:F=2023),G:G))</f>
        <v>39.5</v>
      </c>
      <c r="N17" s="15">
        <f t="array" ref="N17">MEDIAN(IF((E:E="общество")*(B:B=9)*(F:F=2024),G:G))</f>
        <v>42.265000000000001</v>
      </c>
      <c r="O17" s="9">
        <f t="array" ref="O17">MEDIAN(IF((E:E="общество")*(B:B=9)*(F:F=2025),G:G))</f>
        <v>32.25</v>
      </c>
    </row>
    <row r="18" spans="1:16" x14ac:dyDescent="0.3">
      <c r="A18">
        <v>17</v>
      </c>
      <c r="B18">
        <v>9</v>
      </c>
      <c r="C18" s="4">
        <v>28.4</v>
      </c>
      <c r="D18" t="s">
        <v>11</v>
      </c>
      <c r="E18" t="s">
        <v>9</v>
      </c>
      <c r="F18">
        <v>2022</v>
      </c>
      <c r="G18" s="4">
        <v>28.4</v>
      </c>
      <c r="H18">
        <v>66.7</v>
      </c>
      <c r="I18">
        <f t="shared" si="0"/>
        <v>0</v>
      </c>
      <c r="K18" s="7" t="s">
        <v>20</v>
      </c>
      <c r="L18" s="9">
        <f t="array" ref="L18">MEDIAN(IF((E:E="общество")*(B:B=10)*(F:F=2022),G:G))</f>
        <v>43</v>
      </c>
      <c r="M18" s="9">
        <f t="array" ref="M18">MEDIAN(IF((E:E="общество")*(B:B=10)*(F:F=2023),G:G))</f>
        <v>39</v>
      </c>
      <c r="N18" s="13">
        <f t="array" ref="N18">MEDIAN(IF((E:E="общество")*(B:B=10)*(F:F=2024),G:G))</f>
        <v>44.05</v>
      </c>
      <c r="O18" s="9">
        <f t="array" ref="O18">MEDIAN(IF((E:E="общество")*(B:B=10)*(F:F=2025),G:G))</f>
        <v>40.25</v>
      </c>
    </row>
    <row r="19" spans="1:16" x14ac:dyDescent="0.3">
      <c r="A19">
        <v>18</v>
      </c>
      <c r="B19">
        <v>9</v>
      </c>
      <c r="C19" s="4">
        <v>27.8</v>
      </c>
      <c r="D19" t="s">
        <v>11</v>
      </c>
      <c r="E19" t="s">
        <v>9</v>
      </c>
      <c r="F19">
        <v>2022</v>
      </c>
      <c r="G19" s="4">
        <v>27.8</v>
      </c>
      <c r="H19">
        <v>66.7</v>
      </c>
      <c r="I19">
        <f t="shared" si="0"/>
        <v>0</v>
      </c>
      <c r="K19" s="7" t="s">
        <v>21</v>
      </c>
      <c r="L19" s="9">
        <f t="array" ref="L19">MEDIAN(IF((E:E="общество")*(B:B=11)*(F:F=2022),G:G))</f>
        <v>30.5</v>
      </c>
      <c r="M19" s="9">
        <f t="array" ref="M19">MEDIAN(IF((E:E="общество")*(B:B=11)*(F:F=2023),G:G))</f>
        <v>42</v>
      </c>
      <c r="N19" s="9">
        <f t="array" ref="N19">MEDIAN(IF((E:E="общество")*(B:B=11)*(F:F=2024),G:G))</f>
        <v>41.769999999999996</v>
      </c>
      <c r="O19" s="16">
        <f t="array" ref="O19">MEDIAN(IF((E:E="общество")*(B:B=11)*(F:F=2025),G:G))</f>
        <v>48</v>
      </c>
    </row>
    <row r="20" spans="1:16" x14ac:dyDescent="0.3">
      <c r="A20">
        <v>19</v>
      </c>
      <c r="B20">
        <v>9</v>
      </c>
      <c r="C20" s="4">
        <v>27.1</v>
      </c>
      <c r="D20" t="s">
        <v>11</v>
      </c>
      <c r="E20" t="s">
        <v>9</v>
      </c>
      <c r="F20">
        <v>2022</v>
      </c>
      <c r="G20" s="4">
        <v>27.1</v>
      </c>
      <c r="H20">
        <v>66.7</v>
      </c>
      <c r="I20">
        <f t="shared" si="0"/>
        <v>0</v>
      </c>
    </row>
    <row r="21" spans="1:16" x14ac:dyDescent="0.3">
      <c r="A21">
        <v>20</v>
      </c>
      <c r="B21">
        <v>9</v>
      </c>
      <c r="C21" s="4">
        <v>25.7</v>
      </c>
      <c r="D21" t="s">
        <v>11</v>
      </c>
      <c r="E21" t="s">
        <v>9</v>
      </c>
      <c r="F21">
        <v>2022</v>
      </c>
      <c r="G21" s="4">
        <v>25.7</v>
      </c>
      <c r="H21">
        <v>66.7</v>
      </c>
      <c r="I21">
        <f t="shared" si="0"/>
        <v>0</v>
      </c>
    </row>
    <row r="22" spans="1:16" ht="28.8" x14ac:dyDescent="0.3">
      <c r="A22">
        <v>21</v>
      </c>
      <c r="B22">
        <v>9</v>
      </c>
      <c r="C22" s="4">
        <v>19.2</v>
      </c>
      <c r="D22" t="s">
        <v>11</v>
      </c>
      <c r="E22" t="s">
        <v>9</v>
      </c>
      <c r="F22">
        <v>2022</v>
      </c>
      <c r="G22" s="4">
        <v>19.2</v>
      </c>
      <c r="H22">
        <v>66.7</v>
      </c>
      <c r="I22">
        <f t="shared" si="0"/>
        <v>0</v>
      </c>
      <c r="K22" s="27" t="s">
        <v>31</v>
      </c>
      <c r="L22" s="26" t="s">
        <v>32</v>
      </c>
      <c r="M22" s="25"/>
      <c r="N22" s="25"/>
      <c r="O22" s="24"/>
    </row>
    <row r="23" spans="1:16" x14ac:dyDescent="0.3">
      <c r="A23">
        <v>1</v>
      </c>
      <c r="B23">
        <v>10</v>
      </c>
      <c r="C23" s="4">
        <v>69.2</v>
      </c>
      <c r="D23" t="s">
        <v>8</v>
      </c>
      <c r="E23" t="s">
        <v>9</v>
      </c>
      <c r="F23">
        <v>2022</v>
      </c>
      <c r="G23" s="4">
        <v>69.2</v>
      </c>
      <c r="H23">
        <v>69.5</v>
      </c>
      <c r="I23">
        <f t="shared" si="0"/>
        <v>0</v>
      </c>
      <c r="K23" s="22" t="s">
        <v>5</v>
      </c>
      <c r="L23" s="19" t="s">
        <v>9</v>
      </c>
      <c r="M23" s="24" t="s">
        <v>13</v>
      </c>
      <c r="N23" s="24" t="s">
        <v>14</v>
      </c>
      <c r="O23" s="24" t="s">
        <v>17</v>
      </c>
    </row>
    <row r="24" spans="1:16" x14ac:dyDescent="0.3">
      <c r="A24">
        <v>2</v>
      </c>
      <c r="B24">
        <v>10</v>
      </c>
      <c r="C24" s="4">
        <v>60.4</v>
      </c>
      <c r="D24" t="s">
        <v>10</v>
      </c>
      <c r="E24" t="s">
        <v>9</v>
      </c>
      <c r="F24">
        <v>2022</v>
      </c>
      <c r="G24" s="4">
        <v>60.4</v>
      </c>
      <c r="H24">
        <v>69.5</v>
      </c>
      <c r="I24">
        <f t="shared" si="0"/>
        <v>0</v>
      </c>
      <c r="K24" s="20">
        <v>2022</v>
      </c>
      <c r="L24" s="23">
        <v>1.1764705882352941E-2</v>
      </c>
      <c r="M24" s="23">
        <v>3.125E-2</v>
      </c>
      <c r="N24" s="23">
        <v>2.9411764705882353E-2</v>
      </c>
      <c r="O24" s="23">
        <v>0</v>
      </c>
    </row>
    <row r="25" spans="1:16" x14ac:dyDescent="0.3">
      <c r="A25">
        <v>3</v>
      </c>
      <c r="B25">
        <v>10</v>
      </c>
      <c r="C25" s="4">
        <v>60.3</v>
      </c>
      <c r="D25" t="s">
        <v>10</v>
      </c>
      <c r="E25" t="s">
        <v>9</v>
      </c>
      <c r="F25">
        <v>2022</v>
      </c>
      <c r="G25" s="4">
        <v>60.3</v>
      </c>
      <c r="H25">
        <v>69.5</v>
      </c>
      <c r="I25">
        <f t="shared" si="0"/>
        <v>0</v>
      </c>
      <c r="K25" s="20">
        <v>2023</v>
      </c>
      <c r="L25" s="23">
        <v>1.1235955056179775E-2</v>
      </c>
      <c r="M25" s="23">
        <v>1.0416666666666666E-2</v>
      </c>
      <c r="N25" s="23">
        <v>2.3622047244094488E-2</v>
      </c>
      <c r="O25" s="23">
        <v>0</v>
      </c>
    </row>
    <row r="26" spans="1:16" x14ac:dyDescent="0.3">
      <c r="A26">
        <v>4</v>
      </c>
      <c r="B26">
        <v>10</v>
      </c>
      <c r="C26" s="4">
        <v>58.6</v>
      </c>
      <c r="D26" t="s">
        <v>10</v>
      </c>
      <c r="E26" t="s">
        <v>9</v>
      </c>
      <c r="F26">
        <v>2022</v>
      </c>
      <c r="G26" s="4">
        <v>58.599999999999987</v>
      </c>
      <c r="H26">
        <v>69.5</v>
      </c>
      <c r="I26">
        <f t="shared" si="0"/>
        <v>0</v>
      </c>
      <c r="K26" s="20">
        <v>2024</v>
      </c>
      <c r="L26" s="23">
        <v>0</v>
      </c>
      <c r="M26" s="23">
        <v>0</v>
      </c>
      <c r="N26" s="23">
        <v>2.5210084033613446E-2</v>
      </c>
      <c r="O26" s="23">
        <v>0</v>
      </c>
    </row>
    <row r="27" spans="1:16" x14ac:dyDescent="0.3">
      <c r="A27">
        <v>5</v>
      </c>
      <c r="B27">
        <v>10</v>
      </c>
      <c r="C27" s="4">
        <v>57.5</v>
      </c>
      <c r="D27" t="s">
        <v>10</v>
      </c>
      <c r="E27" t="s">
        <v>9</v>
      </c>
      <c r="F27">
        <v>2022</v>
      </c>
      <c r="G27" s="4">
        <v>57.499999999999993</v>
      </c>
      <c r="H27">
        <v>69.5</v>
      </c>
      <c r="I27">
        <f t="shared" si="0"/>
        <v>0</v>
      </c>
      <c r="K27" s="20">
        <v>2025</v>
      </c>
      <c r="L27" s="23">
        <v>1.6260162601626018E-2</v>
      </c>
      <c r="M27" s="23">
        <v>1.7699115044247787E-2</v>
      </c>
      <c r="N27" s="23">
        <v>9.9009900990099011E-3</v>
      </c>
      <c r="O27" s="23">
        <v>0</v>
      </c>
    </row>
    <row r="28" spans="1:16" x14ac:dyDescent="0.3">
      <c r="A28">
        <v>6</v>
      </c>
      <c r="B28">
        <v>10</v>
      </c>
      <c r="C28" s="4">
        <v>55.5</v>
      </c>
      <c r="D28" t="s">
        <v>10</v>
      </c>
      <c r="E28" t="s">
        <v>9</v>
      </c>
      <c r="F28">
        <v>2022</v>
      </c>
      <c r="G28" s="4">
        <v>55.500000000000007</v>
      </c>
      <c r="H28">
        <v>69.5</v>
      </c>
      <c r="I28">
        <f t="shared" si="0"/>
        <v>0</v>
      </c>
    </row>
    <row r="29" spans="1:16" x14ac:dyDescent="0.3">
      <c r="A29">
        <v>7</v>
      </c>
      <c r="B29">
        <v>10</v>
      </c>
      <c r="C29" s="4">
        <v>52.2</v>
      </c>
      <c r="D29" t="s">
        <v>10</v>
      </c>
      <c r="E29" t="s">
        <v>9</v>
      </c>
      <c r="F29">
        <v>2022</v>
      </c>
      <c r="G29" s="4">
        <v>52.2</v>
      </c>
      <c r="H29">
        <v>69.5</v>
      </c>
      <c r="I29">
        <f t="shared" si="0"/>
        <v>0</v>
      </c>
    </row>
    <row r="30" spans="1:16" x14ac:dyDescent="0.3">
      <c r="A30">
        <v>8</v>
      </c>
      <c r="B30">
        <v>10</v>
      </c>
      <c r="C30" s="4">
        <v>51.6</v>
      </c>
      <c r="D30" t="s">
        <v>10</v>
      </c>
      <c r="E30" t="s">
        <v>9</v>
      </c>
      <c r="F30">
        <v>2022</v>
      </c>
      <c r="G30" s="4">
        <v>51.6</v>
      </c>
      <c r="H30">
        <v>69.5</v>
      </c>
      <c r="I30">
        <f t="shared" si="0"/>
        <v>0</v>
      </c>
      <c r="K30" s="22" t="s">
        <v>28</v>
      </c>
      <c r="L30" s="22" t="s">
        <v>30</v>
      </c>
      <c r="M30" s="12"/>
      <c r="N30" s="12"/>
      <c r="O30" s="12"/>
      <c r="P30" s="12"/>
    </row>
    <row r="31" spans="1:16" x14ac:dyDescent="0.3">
      <c r="A31">
        <v>9</v>
      </c>
      <c r="B31">
        <v>10</v>
      </c>
      <c r="C31" s="4">
        <v>51</v>
      </c>
      <c r="D31" t="s">
        <v>10</v>
      </c>
      <c r="E31" t="s">
        <v>9</v>
      </c>
      <c r="F31">
        <v>2022</v>
      </c>
      <c r="G31" s="4">
        <v>51</v>
      </c>
      <c r="H31">
        <v>69.5</v>
      </c>
      <c r="I31">
        <f t="shared" si="0"/>
        <v>0</v>
      </c>
      <c r="K31" s="22" t="s">
        <v>4</v>
      </c>
      <c r="L31" s="12">
        <v>2022</v>
      </c>
      <c r="M31" s="12">
        <v>2023</v>
      </c>
      <c r="N31" s="12">
        <v>2024</v>
      </c>
      <c r="O31" s="12">
        <v>2025</v>
      </c>
      <c r="P31" s="12" t="s">
        <v>27</v>
      </c>
    </row>
    <row r="32" spans="1:16" x14ac:dyDescent="0.3">
      <c r="A32">
        <v>10</v>
      </c>
      <c r="B32">
        <v>10</v>
      </c>
      <c r="C32" s="4">
        <v>50.8</v>
      </c>
      <c r="D32" t="s">
        <v>11</v>
      </c>
      <c r="E32" t="s">
        <v>9</v>
      </c>
      <c r="F32">
        <v>2022</v>
      </c>
      <c r="G32" s="4">
        <v>50.8</v>
      </c>
      <c r="H32">
        <v>69.5</v>
      </c>
      <c r="I32">
        <f t="shared" si="0"/>
        <v>0</v>
      </c>
      <c r="K32" s="20" t="s">
        <v>9</v>
      </c>
      <c r="L32" s="12">
        <v>85</v>
      </c>
      <c r="M32" s="12">
        <v>89</v>
      </c>
      <c r="N32" s="12">
        <v>110</v>
      </c>
      <c r="O32" s="12">
        <v>123</v>
      </c>
      <c r="P32" s="12">
        <v>407</v>
      </c>
    </row>
    <row r="33" spans="1:16" x14ac:dyDescent="0.3">
      <c r="A33">
        <v>11</v>
      </c>
      <c r="B33">
        <v>10</v>
      </c>
      <c r="C33" s="4">
        <v>48.5</v>
      </c>
      <c r="D33" t="s">
        <v>11</v>
      </c>
      <c r="E33" t="s">
        <v>9</v>
      </c>
      <c r="F33">
        <v>2022</v>
      </c>
      <c r="G33" s="4">
        <v>48.5</v>
      </c>
      <c r="H33">
        <v>69.5</v>
      </c>
      <c r="I33">
        <f t="shared" si="0"/>
        <v>0</v>
      </c>
      <c r="K33" s="20" t="s">
        <v>13</v>
      </c>
      <c r="L33" s="12">
        <v>96</v>
      </c>
      <c r="M33" s="12">
        <v>96</v>
      </c>
      <c r="N33" s="12">
        <v>109</v>
      </c>
      <c r="O33" s="12">
        <v>113</v>
      </c>
      <c r="P33" s="12">
        <v>414</v>
      </c>
    </row>
    <row r="34" spans="1:16" x14ac:dyDescent="0.3">
      <c r="A34">
        <v>12</v>
      </c>
      <c r="B34">
        <v>10</v>
      </c>
      <c r="C34" s="4">
        <v>46.9</v>
      </c>
      <c r="D34" t="s">
        <v>11</v>
      </c>
      <c r="E34" t="s">
        <v>9</v>
      </c>
      <c r="F34">
        <v>2022</v>
      </c>
      <c r="G34" s="4">
        <v>46.9</v>
      </c>
      <c r="H34">
        <v>69.5</v>
      </c>
      <c r="I34">
        <f t="shared" si="0"/>
        <v>0</v>
      </c>
      <c r="K34" s="20" t="s">
        <v>14</v>
      </c>
      <c r="L34" s="12">
        <v>68</v>
      </c>
      <c r="M34" s="12">
        <v>127</v>
      </c>
      <c r="N34" s="12">
        <v>119</v>
      </c>
      <c r="O34" s="12">
        <v>101</v>
      </c>
      <c r="P34" s="12">
        <v>415</v>
      </c>
    </row>
    <row r="35" spans="1:16" x14ac:dyDescent="0.3">
      <c r="A35">
        <v>13</v>
      </c>
      <c r="B35">
        <v>10</v>
      </c>
      <c r="C35" s="4">
        <v>46.9</v>
      </c>
      <c r="D35" t="s">
        <v>11</v>
      </c>
      <c r="E35" t="s">
        <v>9</v>
      </c>
      <c r="F35">
        <v>2022</v>
      </c>
      <c r="G35" s="4">
        <v>46.9</v>
      </c>
      <c r="H35">
        <v>69.5</v>
      </c>
      <c r="I35">
        <f t="shared" si="0"/>
        <v>0</v>
      </c>
      <c r="K35" s="20" t="s">
        <v>17</v>
      </c>
      <c r="L35" s="12">
        <v>66</v>
      </c>
      <c r="M35" s="12">
        <v>96</v>
      </c>
      <c r="N35" s="12">
        <v>83</v>
      </c>
      <c r="O35" s="12">
        <v>119</v>
      </c>
      <c r="P35" s="12">
        <v>364</v>
      </c>
    </row>
    <row r="36" spans="1:16" x14ac:dyDescent="0.3">
      <c r="A36">
        <v>14</v>
      </c>
      <c r="B36">
        <v>10</v>
      </c>
      <c r="C36" s="4">
        <v>46.1</v>
      </c>
      <c r="D36" t="s">
        <v>11</v>
      </c>
      <c r="E36" t="s">
        <v>9</v>
      </c>
      <c r="F36">
        <v>2022</v>
      </c>
      <c r="G36" s="4">
        <v>46.1</v>
      </c>
      <c r="H36">
        <v>69.5</v>
      </c>
      <c r="I36">
        <f t="shared" si="0"/>
        <v>0</v>
      </c>
      <c r="K36" s="20" t="s">
        <v>27</v>
      </c>
      <c r="L36" s="12">
        <v>315</v>
      </c>
      <c r="M36" s="12">
        <v>408</v>
      </c>
      <c r="N36" s="12">
        <v>421</v>
      </c>
      <c r="O36" s="12">
        <v>456</v>
      </c>
      <c r="P36" s="12">
        <v>1600</v>
      </c>
    </row>
    <row r="37" spans="1:16" x14ac:dyDescent="0.3">
      <c r="A37">
        <v>15</v>
      </c>
      <c r="B37">
        <v>10</v>
      </c>
      <c r="C37" s="4">
        <v>45.4</v>
      </c>
      <c r="D37" t="s">
        <v>11</v>
      </c>
      <c r="E37" t="s">
        <v>9</v>
      </c>
      <c r="F37">
        <v>2022</v>
      </c>
      <c r="G37" s="4">
        <v>45.4</v>
      </c>
      <c r="H37">
        <v>69.5</v>
      </c>
      <c r="I37">
        <f t="shared" si="0"/>
        <v>0</v>
      </c>
    </row>
    <row r="38" spans="1:16" x14ac:dyDescent="0.3">
      <c r="A38">
        <v>16</v>
      </c>
      <c r="B38">
        <v>10</v>
      </c>
      <c r="C38" s="4">
        <v>45.2</v>
      </c>
      <c r="D38" t="s">
        <v>11</v>
      </c>
      <c r="E38" t="s">
        <v>9</v>
      </c>
      <c r="F38">
        <v>2022</v>
      </c>
      <c r="G38" s="4">
        <v>45.2</v>
      </c>
      <c r="H38">
        <v>69.5</v>
      </c>
      <c r="I38">
        <f t="shared" si="0"/>
        <v>0</v>
      </c>
      <c r="K38" s="17" t="s">
        <v>29</v>
      </c>
      <c r="L38" s="17" t="s">
        <v>32</v>
      </c>
    </row>
    <row r="39" spans="1:16" x14ac:dyDescent="0.3">
      <c r="A39">
        <v>17</v>
      </c>
      <c r="B39">
        <v>10</v>
      </c>
      <c r="C39" s="4">
        <v>44.5</v>
      </c>
      <c r="D39" t="s">
        <v>11</v>
      </c>
      <c r="E39" t="s">
        <v>9</v>
      </c>
      <c r="F39">
        <v>2022</v>
      </c>
      <c r="G39" s="4">
        <v>44.5</v>
      </c>
      <c r="H39">
        <v>69.5</v>
      </c>
      <c r="I39">
        <f t="shared" si="0"/>
        <v>0</v>
      </c>
      <c r="K39" s="17" t="s">
        <v>5</v>
      </c>
      <c r="L39" t="s">
        <v>9</v>
      </c>
      <c r="M39" t="s">
        <v>13</v>
      </c>
      <c r="N39" t="s">
        <v>14</v>
      </c>
      <c r="O39" t="s">
        <v>17</v>
      </c>
    </row>
    <row r="40" spans="1:16" x14ac:dyDescent="0.3">
      <c r="A40">
        <v>18</v>
      </c>
      <c r="B40">
        <v>10</v>
      </c>
      <c r="C40" s="4">
        <v>43.2</v>
      </c>
      <c r="D40" t="s">
        <v>11</v>
      </c>
      <c r="E40" t="s">
        <v>9</v>
      </c>
      <c r="F40">
        <v>2022</v>
      </c>
      <c r="G40" s="4">
        <v>43.2</v>
      </c>
      <c r="H40">
        <v>69.5</v>
      </c>
      <c r="I40">
        <f t="shared" si="0"/>
        <v>0</v>
      </c>
      <c r="K40" s="18">
        <v>2022</v>
      </c>
      <c r="L40">
        <v>1</v>
      </c>
      <c r="M40">
        <v>3</v>
      </c>
      <c r="N40">
        <v>2</v>
      </c>
      <c r="O40">
        <v>0</v>
      </c>
    </row>
    <row r="41" spans="1:16" x14ac:dyDescent="0.3">
      <c r="A41">
        <v>19</v>
      </c>
      <c r="B41">
        <v>10</v>
      </c>
      <c r="C41" s="4">
        <v>42.8</v>
      </c>
      <c r="D41" t="s">
        <v>11</v>
      </c>
      <c r="E41" t="s">
        <v>9</v>
      </c>
      <c r="F41">
        <v>2022</v>
      </c>
      <c r="G41" s="4">
        <v>42.8</v>
      </c>
      <c r="H41">
        <v>69.5</v>
      </c>
      <c r="I41">
        <f t="shared" si="0"/>
        <v>0</v>
      </c>
      <c r="K41" s="18">
        <v>2023</v>
      </c>
      <c r="L41">
        <v>1</v>
      </c>
      <c r="M41">
        <v>1</v>
      </c>
      <c r="N41">
        <v>3</v>
      </c>
      <c r="O41">
        <v>0</v>
      </c>
    </row>
    <row r="42" spans="1:16" x14ac:dyDescent="0.3">
      <c r="A42">
        <v>20</v>
      </c>
      <c r="B42">
        <v>10</v>
      </c>
      <c r="C42" s="4">
        <v>41</v>
      </c>
      <c r="D42" t="s">
        <v>11</v>
      </c>
      <c r="E42" t="s">
        <v>9</v>
      </c>
      <c r="F42">
        <v>2022</v>
      </c>
      <c r="G42" s="4">
        <v>41</v>
      </c>
      <c r="H42">
        <v>69.5</v>
      </c>
      <c r="I42">
        <f t="shared" si="0"/>
        <v>0</v>
      </c>
      <c r="K42" s="18">
        <v>2024</v>
      </c>
      <c r="L42">
        <v>0</v>
      </c>
      <c r="M42">
        <v>0</v>
      </c>
      <c r="N42">
        <v>3</v>
      </c>
      <c r="O42">
        <v>0</v>
      </c>
    </row>
    <row r="43" spans="1:16" x14ac:dyDescent="0.3">
      <c r="A43">
        <v>21</v>
      </c>
      <c r="B43">
        <v>10</v>
      </c>
      <c r="C43" s="4">
        <v>40.9</v>
      </c>
      <c r="D43" t="s">
        <v>11</v>
      </c>
      <c r="E43" t="s">
        <v>9</v>
      </c>
      <c r="F43">
        <v>2022</v>
      </c>
      <c r="G43" s="4">
        <v>40.9</v>
      </c>
      <c r="H43">
        <v>69.5</v>
      </c>
      <c r="I43">
        <f t="shared" si="0"/>
        <v>0</v>
      </c>
      <c r="K43" s="18">
        <v>2025</v>
      </c>
      <c r="L43">
        <v>2</v>
      </c>
      <c r="M43">
        <v>2</v>
      </c>
      <c r="N43">
        <v>1</v>
      </c>
      <c r="O43">
        <v>0</v>
      </c>
    </row>
    <row r="44" spans="1:16" x14ac:dyDescent="0.3">
      <c r="A44">
        <v>22</v>
      </c>
      <c r="B44">
        <v>10</v>
      </c>
      <c r="C44" s="4">
        <v>40.5</v>
      </c>
      <c r="D44" t="s">
        <v>11</v>
      </c>
      <c r="E44" t="s">
        <v>9</v>
      </c>
      <c r="F44">
        <v>2022</v>
      </c>
      <c r="G44" s="4">
        <v>40.5</v>
      </c>
      <c r="H44">
        <v>69.5</v>
      </c>
      <c r="I44">
        <f t="shared" si="0"/>
        <v>0</v>
      </c>
      <c r="K44" s="18" t="s">
        <v>27</v>
      </c>
      <c r="L44">
        <v>4</v>
      </c>
      <c r="M44">
        <v>6</v>
      </c>
      <c r="N44">
        <v>9</v>
      </c>
      <c r="O44">
        <v>0</v>
      </c>
    </row>
    <row r="45" spans="1:16" x14ac:dyDescent="0.3">
      <c r="A45">
        <v>23</v>
      </c>
      <c r="B45">
        <v>10</v>
      </c>
      <c r="C45" s="4">
        <v>38.9</v>
      </c>
      <c r="D45" t="s">
        <v>11</v>
      </c>
      <c r="E45" t="s">
        <v>9</v>
      </c>
      <c r="F45">
        <v>2022</v>
      </c>
      <c r="G45" s="4">
        <v>38.9</v>
      </c>
      <c r="H45">
        <v>69.5</v>
      </c>
      <c r="I45">
        <f t="shared" si="0"/>
        <v>0</v>
      </c>
    </row>
    <row r="46" spans="1:16" x14ac:dyDescent="0.3">
      <c r="A46">
        <v>24</v>
      </c>
      <c r="B46">
        <v>10</v>
      </c>
      <c r="C46" s="4">
        <v>37</v>
      </c>
      <c r="D46" t="s">
        <v>11</v>
      </c>
      <c r="E46" t="s">
        <v>9</v>
      </c>
      <c r="F46">
        <v>2022</v>
      </c>
      <c r="G46" s="4">
        <v>37</v>
      </c>
      <c r="H46">
        <v>69.5</v>
      </c>
      <c r="I46">
        <f t="shared" si="0"/>
        <v>0</v>
      </c>
    </row>
    <row r="47" spans="1:16" x14ac:dyDescent="0.3">
      <c r="A47">
        <v>25</v>
      </c>
      <c r="B47">
        <v>10</v>
      </c>
      <c r="C47" s="4">
        <v>35.200000000000003</v>
      </c>
      <c r="D47" t="s">
        <v>11</v>
      </c>
      <c r="E47" t="s">
        <v>9</v>
      </c>
      <c r="F47">
        <v>2022</v>
      </c>
      <c r="G47" s="4">
        <v>35.200000000000003</v>
      </c>
      <c r="H47">
        <v>69.5</v>
      </c>
      <c r="I47">
        <f t="shared" si="0"/>
        <v>0</v>
      </c>
    </row>
    <row r="48" spans="1:16" x14ac:dyDescent="0.3">
      <c r="A48">
        <v>26</v>
      </c>
      <c r="B48">
        <v>10</v>
      </c>
      <c r="C48" s="4">
        <v>33.6</v>
      </c>
      <c r="D48" t="s">
        <v>11</v>
      </c>
      <c r="E48" t="s">
        <v>9</v>
      </c>
      <c r="F48">
        <v>2022</v>
      </c>
      <c r="G48" s="4">
        <v>33.6</v>
      </c>
      <c r="H48">
        <v>69.5</v>
      </c>
      <c r="I48">
        <f t="shared" si="0"/>
        <v>0</v>
      </c>
    </row>
    <row r="49" spans="1:9" x14ac:dyDescent="0.3">
      <c r="A49">
        <v>27</v>
      </c>
      <c r="B49">
        <v>10</v>
      </c>
      <c r="C49" s="4">
        <v>33.4</v>
      </c>
      <c r="D49" t="s">
        <v>11</v>
      </c>
      <c r="E49" t="s">
        <v>9</v>
      </c>
      <c r="F49">
        <v>2022</v>
      </c>
      <c r="G49" s="4">
        <v>33.4</v>
      </c>
      <c r="H49">
        <v>69.5</v>
      </c>
      <c r="I49">
        <f t="shared" si="0"/>
        <v>0</v>
      </c>
    </row>
    <row r="50" spans="1:9" x14ac:dyDescent="0.3">
      <c r="A50">
        <v>28</v>
      </c>
      <c r="B50">
        <v>10</v>
      </c>
      <c r="C50" s="4">
        <v>31.2</v>
      </c>
      <c r="D50" t="s">
        <v>11</v>
      </c>
      <c r="E50" t="s">
        <v>9</v>
      </c>
      <c r="F50">
        <v>2022</v>
      </c>
      <c r="G50" s="4">
        <v>31.2</v>
      </c>
      <c r="H50">
        <v>69.5</v>
      </c>
      <c r="I50">
        <f t="shared" si="0"/>
        <v>0</v>
      </c>
    </row>
    <row r="51" spans="1:9" x14ac:dyDescent="0.3">
      <c r="A51">
        <v>29</v>
      </c>
      <c r="B51">
        <v>10</v>
      </c>
      <c r="C51" s="4">
        <v>24.1</v>
      </c>
      <c r="D51" t="s">
        <v>11</v>
      </c>
      <c r="E51" t="s">
        <v>9</v>
      </c>
      <c r="F51">
        <v>2022</v>
      </c>
      <c r="G51" s="4">
        <v>24.1</v>
      </c>
      <c r="H51">
        <v>69.5</v>
      </c>
      <c r="I51">
        <f t="shared" si="0"/>
        <v>0</v>
      </c>
    </row>
    <row r="52" spans="1:9" x14ac:dyDescent="0.3">
      <c r="A52">
        <v>1</v>
      </c>
      <c r="B52">
        <v>11</v>
      </c>
      <c r="C52" s="4">
        <v>60.1</v>
      </c>
      <c r="D52" t="s">
        <v>8</v>
      </c>
      <c r="E52" t="s">
        <v>9</v>
      </c>
      <c r="F52">
        <v>2022</v>
      </c>
      <c r="G52" s="4">
        <v>60.099999999999987</v>
      </c>
      <c r="H52">
        <v>68</v>
      </c>
      <c r="I52">
        <f t="shared" si="0"/>
        <v>0</v>
      </c>
    </row>
    <row r="53" spans="1:9" x14ac:dyDescent="0.3">
      <c r="A53">
        <v>2</v>
      </c>
      <c r="B53">
        <v>11</v>
      </c>
      <c r="C53" s="4">
        <v>52.7</v>
      </c>
      <c r="D53" t="s">
        <v>10</v>
      </c>
      <c r="E53" t="s">
        <v>9</v>
      </c>
      <c r="F53">
        <v>2022</v>
      </c>
      <c r="G53" s="4">
        <v>52.7</v>
      </c>
      <c r="H53">
        <v>68</v>
      </c>
      <c r="I53">
        <f t="shared" si="0"/>
        <v>0</v>
      </c>
    </row>
    <row r="54" spans="1:9" x14ac:dyDescent="0.3">
      <c r="A54">
        <v>3</v>
      </c>
      <c r="B54">
        <v>11</v>
      </c>
      <c r="C54" s="4">
        <v>51</v>
      </c>
      <c r="D54" t="s">
        <v>10</v>
      </c>
      <c r="E54" t="s">
        <v>9</v>
      </c>
      <c r="F54">
        <v>2022</v>
      </c>
      <c r="G54" s="4">
        <v>51</v>
      </c>
      <c r="H54">
        <v>68</v>
      </c>
      <c r="I54">
        <f t="shared" si="0"/>
        <v>0</v>
      </c>
    </row>
    <row r="55" spans="1:9" x14ac:dyDescent="0.3">
      <c r="A55">
        <v>4</v>
      </c>
      <c r="B55">
        <v>11</v>
      </c>
      <c r="C55" s="4">
        <v>50.7</v>
      </c>
      <c r="D55" t="s">
        <v>10</v>
      </c>
      <c r="E55" t="s">
        <v>9</v>
      </c>
      <c r="F55">
        <v>2022</v>
      </c>
      <c r="G55" s="4">
        <v>50.7</v>
      </c>
      <c r="H55">
        <v>68</v>
      </c>
      <c r="I55">
        <f t="shared" si="0"/>
        <v>0</v>
      </c>
    </row>
    <row r="56" spans="1:9" x14ac:dyDescent="0.3">
      <c r="A56">
        <v>5</v>
      </c>
      <c r="B56">
        <v>11</v>
      </c>
      <c r="C56" s="4">
        <v>45.8</v>
      </c>
      <c r="D56" t="s">
        <v>10</v>
      </c>
      <c r="E56" t="s">
        <v>9</v>
      </c>
      <c r="F56">
        <v>2022</v>
      </c>
      <c r="G56" s="4">
        <v>45.8</v>
      </c>
      <c r="H56">
        <v>68</v>
      </c>
      <c r="I56">
        <f t="shared" si="0"/>
        <v>0</v>
      </c>
    </row>
    <row r="57" spans="1:9" x14ac:dyDescent="0.3">
      <c r="A57">
        <v>6</v>
      </c>
      <c r="B57">
        <v>11</v>
      </c>
      <c r="C57" s="4">
        <v>45</v>
      </c>
      <c r="D57" t="s">
        <v>10</v>
      </c>
      <c r="E57" t="s">
        <v>9</v>
      </c>
      <c r="F57">
        <v>2022</v>
      </c>
      <c r="G57" s="4">
        <v>45</v>
      </c>
      <c r="H57">
        <v>68</v>
      </c>
      <c r="I57">
        <f t="shared" si="0"/>
        <v>0</v>
      </c>
    </row>
    <row r="58" spans="1:9" x14ac:dyDescent="0.3">
      <c r="A58">
        <v>7</v>
      </c>
      <c r="B58">
        <v>11</v>
      </c>
      <c r="C58" s="4">
        <v>44.3</v>
      </c>
      <c r="D58" t="s">
        <v>10</v>
      </c>
      <c r="E58" t="s">
        <v>9</v>
      </c>
      <c r="F58">
        <v>2022</v>
      </c>
      <c r="G58" s="4">
        <v>44.3</v>
      </c>
      <c r="H58">
        <v>68</v>
      </c>
      <c r="I58">
        <f t="shared" si="0"/>
        <v>0</v>
      </c>
    </row>
    <row r="59" spans="1:9" x14ac:dyDescent="0.3">
      <c r="A59">
        <v>8</v>
      </c>
      <c r="B59">
        <v>11</v>
      </c>
      <c r="C59" s="4">
        <v>41.1</v>
      </c>
      <c r="D59" t="s">
        <v>10</v>
      </c>
      <c r="E59" t="s">
        <v>9</v>
      </c>
      <c r="F59">
        <v>2022</v>
      </c>
      <c r="G59" s="4">
        <v>41.1</v>
      </c>
      <c r="H59">
        <v>68</v>
      </c>
      <c r="I59">
        <f t="shared" si="0"/>
        <v>0</v>
      </c>
    </row>
    <row r="60" spans="1:9" x14ac:dyDescent="0.3">
      <c r="A60">
        <v>9</v>
      </c>
      <c r="B60">
        <v>11</v>
      </c>
      <c r="C60" s="4">
        <v>41</v>
      </c>
      <c r="D60" t="s">
        <v>10</v>
      </c>
      <c r="E60" t="s">
        <v>9</v>
      </c>
      <c r="F60">
        <v>2022</v>
      </c>
      <c r="G60" s="4">
        <v>41</v>
      </c>
      <c r="H60">
        <v>68</v>
      </c>
      <c r="I60">
        <f t="shared" si="0"/>
        <v>0</v>
      </c>
    </row>
    <row r="61" spans="1:9" x14ac:dyDescent="0.3">
      <c r="A61">
        <v>10</v>
      </c>
      <c r="B61">
        <v>11</v>
      </c>
      <c r="C61" s="4">
        <v>40.5</v>
      </c>
      <c r="D61" t="s">
        <v>11</v>
      </c>
      <c r="E61" t="s">
        <v>9</v>
      </c>
      <c r="F61">
        <v>2022</v>
      </c>
      <c r="G61" s="4">
        <v>40.5</v>
      </c>
      <c r="H61">
        <v>68</v>
      </c>
      <c r="I61">
        <f>IF(C61&gt;=H61,1,0)</f>
        <v>0</v>
      </c>
    </row>
    <row r="62" spans="1:9" x14ac:dyDescent="0.3">
      <c r="A62">
        <v>11</v>
      </c>
      <c r="B62">
        <v>11</v>
      </c>
      <c r="C62" s="4">
        <v>40.299999999999997</v>
      </c>
      <c r="D62" t="s">
        <v>11</v>
      </c>
      <c r="E62" t="s">
        <v>9</v>
      </c>
      <c r="F62">
        <v>2022</v>
      </c>
      <c r="G62" s="4">
        <v>40.299999999999997</v>
      </c>
      <c r="H62">
        <v>68</v>
      </c>
      <c r="I62">
        <f t="shared" si="0"/>
        <v>0</v>
      </c>
    </row>
    <row r="63" spans="1:9" x14ac:dyDescent="0.3">
      <c r="A63">
        <v>12</v>
      </c>
      <c r="B63">
        <v>11</v>
      </c>
      <c r="C63" s="4">
        <v>40.299999999999997</v>
      </c>
      <c r="D63" t="s">
        <v>11</v>
      </c>
      <c r="E63" t="s">
        <v>9</v>
      </c>
      <c r="F63">
        <v>2022</v>
      </c>
      <c r="G63" s="4">
        <v>40.299999999999997</v>
      </c>
      <c r="H63">
        <v>68</v>
      </c>
      <c r="I63">
        <f t="shared" si="0"/>
        <v>0</v>
      </c>
    </row>
    <row r="64" spans="1:9" x14ac:dyDescent="0.3">
      <c r="A64">
        <v>13</v>
      </c>
      <c r="B64">
        <v>11</v>
      </c>
      <c r="C64" s="4">
        <v>40.1</v>
      </c>
      <c r="D64" t="s">
        <v>11</v>
      </c>
      <c r="E64" t="s">
        <v>9</v>
      </c>
      <c r="F64">
        <v>2022</v>
      </c>
      <c r="G64" s="4">
        <v>40.1</v>
      </c>
      <c r="H64">
        <v>68</v>
      </c>
      <c r="I64">
        <f t="shared" si="0"/>
        <v>0</v>
      </c>
    </row>
    <row r="65" spans="1:9" x14ac:dyDescent="0.3">
      <c r="A65">
        <v>14</v>
      </c>
      <c r="B65">
        <v>11</v>
      </c>
      <c r="C65" s="4">
        <v>39.799999999999997</v>
      </c>
      <c r="D65" t="s">
        <v>11</v>
      </c>
      <c r="E65" t="s">
        <v>9</v>
      </c>
      <c r="F65">
        <v>2022</v>
      </c>
      <c r="G65" s="4">
        <v>39.799999999999997</v>
      </c>
      <c r="H65">
        <v>68</v>
      </c>
      <c r="I65">
        <f t="shared" si="0"/>
        <v>0</v>
      </c>
    </row>
    <row r="66" spans="1:9" x14ac:dyDescent="0.3">
      <c r="A66">
        <v>15</v>
      </c>
      <c r="B66">
        <v>11</v>
      </c>
      <c r="C66" s="4">
        <v>39.6</v>
      </c>
      <c r="D66" t="s">
        <v>11</v>
      </c>
      <c r="E66" t="s">
        <v>9</v>
      </c>
      <c r="F66">
        <v>2022</v>
      </c>
      <c r="G66" s="4">
        <v>39.6</v>
      </c>
      <c r="H66">
        <v>68</v>
      </c>
      <c r="I66">
        <f t="shared" si="0"/>
        <v>0</v>
      </c>
    </row>
    <row r="67" spans="1:9" x14ac:dyDescent="0.3">
      <c r="A67">
        <v>16</v>
      </c>
      <c r="B67">
        <v>11</v>
      </c>
      <c r="C67" s="4">
        <v>39.299999999999997</v>
      </c>
      <c r="D67" t="s">
        <v>11</v>
      </c>
      <c r="E67" t="s">
        <v>9</v>
      </c>
      <c r="F67">
        <v>2022</v>
      </c>
      <c r="G67" s="4">
        <v>39.299999999999997</v>
      </c>
      <c r="H67">
        <v>68</v>
      </c>
      <c r="I67">
        <f t="shared" ref="I67:I130" si="1">IF(C67&gt;=H67,1,0)</f>
        <v>0</v>
      </c>
    </row>
    <row r="68" spans="1:9" x14ac:dyDescent="0.3">
      <c r="A68">
        <v>17</v>
      </c>
      <c r="B68">
        <v>11</v>
      </c>
      <c r="C68" s="4">
        <v>39</v>
      </c>
      <c r="D68" t="s">
        <v>11</v>
      </c>
      <c r="E68" t="s">
        <v>9</v>
      </c>
      <c r="F68">
        <v>2022</v>
      </c>
      <c r="G68" s="4">
        <v>39</v>
      </c>
      <c r="H68">
        <v>68</v>
      </c>
      <c r="I68">
        <f t="shared" si="1"/>
        <v>0</v>
      </c>
    </row>
    <row r="69" spans="1:9" x14ac:dyDescent="0.3">
      <c r="A69">
        <v>18</v>
      </c>
      <c r="B69">
        <v>11</v>
      </c>
      <c r="C69" s="4">
        <v>38.799999999999997</v>
      </c>
      <c r="D69" t="s">
        <v>11</v>
      </c>
      <c r="E69" t="s">
        <v>9</v>
      </c>
      <c r="F69">
        <v>2022</v>
      </c>
      <c r="G69" s="4">
        <v>38.799999999999997</v>
      </c>
      <c r="H69">
        <v>68</v>
      </c>
      <c r="I69">
        <f t="shared" si="1"/>
        <v>0</v>
      </c>
    </row>
    <row r="70" spans="1:9" x14ac:dyDescent="0.3">
      <c r="A70">
        <v>19</v>
      </c>
      <c r="B70">
        <v>11</v>
      </c>
      <c r="C70" s="4">
        <v>38.1</v>
      </c>
      <c r="D70" t="s">
        <v>11</v>
      </c>
      <c r="E70" t="s">
        <v>9</v>
      </c>
      <c r="F70">
        <v>2022</v>
      </c>
      <c r="G70" s="4">
        <v>38.1</v>
      </c>
      <c r="H70">
        <v>68</v>
      </c>
      <c r="I70">
        <f t="shared" si="1"/>
        <v>0</v>
      </c>
    </row>
    <row r="71" spans="1:9" x14ac:dyDescent="0.3">
      <c r="A71">
        <v>20</v>
      </c>
      <c r="B71">
        <v>11</v>
      </c>
      <c r="C71" s="4">
        <v>37</v>
      </c>
      <c r="D71" t="s">
        <v>11</v>
      </c>
      <c r="E71" t="s">
        <v>9</v>
      </c>
      <c r="F71">
        <v>2022</v>
      </c>
      <c r="G71" s="4">
        <v>37</v>
      </c>
      <c r="H71">
        <v>68</v>
      </c>
      <c r="I71">
        <f t="shared" si="1"/>
        <v>0</v>
      </c>
    </row>
    <row r="72" spans="1:9" x14ac:dyDescent="0.3">
      <c r="A72">
        <v>21</v>
      </c>
      <c r="B72">
        <v>11</v>
      </c>
      <c r="C72" s="4">
        <v>34.9</v>
      </c>
      <c r="D72" t="s">
        <v>11</v>
      </c>
      <c r="E72" t="s">
        <v>9</v>
      </c>
      <c r="F72">
        <v>2022</v>
      </c>
      <c r="G72" s="4">
        <v>34.9</v>
      </c>
      <c r="H72">
        <v>68</v>
      </c>
      <c r="I72">
        <f t="shared" si="1"/>
        <v>0</v>
      </c>
    </row>
    <row r="73" spans="1:9" x14ac:dyDescent="0.3">
      <c r="A73">
        <v>22</v>
      </c>
      <c r="B73">
        <v>11</v>
      </c>
      <c r="C73" s="4">
        <v>34.5</v>
      </c>
      <c r="D73" t="s">
        <v>11</v>
      </c>
      <c r="E73" t="s">
        <v>9</v>
      </c>
      <c r="F73">
        <v>2022</v>
      </c>
      <c r="G73" s="4">
        <v>34.5</v>
      </c>
      <c r="H73">
        <v>68</v>
      </c>
      <c r="I73">
        <f t="shared" si="1"/>
        <v>0</v>
      </c>
    </row>
    <row r="74" spans="1:9" x14ac:dyDescent="0.3">
      <c r="A74">
        <v>23</v>
      </c>
      <c r="B74">
        <v>11</v>
      </c>
      <c r="C74" s="4">
        <v>34.4</v>
      </c>
      <c r="D74" t="s">
        <v>11</v>
      </c>
      <c r="E74" t="s">
        <v>9</v>
      </c>
      <c r="F74">
        <v>2022</v>
      </c>
      <c r="G74" s="4">
        <v>34.4</v>
      </c>
      <c r="H74">
        <v>68</v>
      </c>
      <c r="I74">
        <f t="shared" si="1"/>
        <v>0</v>
      </c>
    </row>
    <row r="75" spans="1:9" x14ac:dyDescent="0.3">
      <c r="A75">
        <v>24</v>
      </c>
      <c r="B75">
        <v>11</v>
      </c>
      <c r="C75" s="4">
        <v>33.799999999999997</v>
      </c>
      <c r="D75" t="s">
        <v>11</v>
      </c>
      <c r="E75" t="s">
        <v>9</v>
      </c>
      <c r="F75">
        <v>2022</v>
      </c>
      <c r="G75" s="4">
        <v>33.799999999999997</v>
      </c>
      <c r="H75">
        <v>68</v>
      </c>
      <c r="I75">
        <f t="shared" si="1"/>
        <v>0</v>
      </c>
    </row>
    <row r="76" spans="1:9" x14ac:dyDescent="0.3">
      <c r="A76">
        <v>25</v>
      </c>
      <c r="B76">
        <v>11</v>
      </c>
      <c r="C76" s="4">
        <v>33.5</v>
      </c>
      <c r="D76" t="s">
        <v>11</v>
      </c>
      <c r="E76" t="s">
        <v>9</v>
      </c>
      <c r="F76">
        <v>2022</v>
      </c>
      <c r="G76" s="4">
        <v>33.5</v>
      </c>
      <c r="H76">
        <v>68</v>
      </c>
      <c r="I76">
        <f t="shared" si="1"/>
        <v>0</v>
      </c>
    </row>
    <row r="77" spans="1:9" x14ac:dyDescent="0.3">
      <c r="A77">
        <v>26</v>
      </c>
      <c r="B77">
        <v>11</v>
      </c>
      <c r="C77" s="4">
        <v>32.1</v>
      </c>
      <c r="D77" t="s">
        <v>11</v>
      </c>
      <c r="E77" t="s">
        <v>9</v>
      </c>
      <c r="F77">
        <v>2022</v>
      </c>
      <c r="G77" s="4">
        <v>32.1</v>
      </c>
      <c r="H77">
        <v>68</v>
      </c>
      <c r="I77">
        <f t="shared" si="1"/>
        <v>0</v>
      </c>
    </row>
    <row r="78" spans="1:9" x14ac:dyDescent="0.3">
      <c r="A78">
        <v>27</v>
      </c>
      <c r="B78">
        <v>11</v>
      </c>
      <c r="C78" s="4">
        <v>30.1</v>
      </c>
      <c r="D78" t="s">
        <v>11</v>
      </c>
      <c r="E78" t="s">
        <v>9</v>
      </c>
      <c r="F78">
        <v>2022</v>
      </c>
      <c r="G78" s="4">
        <v>30.1</v>
      </c>
      <c r="H78">
        <v>68</v>
      </c>
      <c r="I78">
        <f t="shared" si="1"/>
        <v>0</v>
      </c>
    </row>
    <row r="79" spans="1:9" x14ac:dyDescent="0.3">
      <c r="A79">
        <v>28</v>
      </c>
      <c r="B79">
        <v>11</v>
      </c>
      <c r="C79" s="4">
        <v>30</v>
      </c>
      <c r="D79" t="s">
        <v>11</v>
      </c>
      <c r="E79" t="s">
        <v>9</v>
      </c>
      <c r="F79">
        <v>2022</v>
      </c>
      <c r="G79" s="4">
        <v>30</v>
      </c>
      <c r="H79">
        <v>68</v>
      </c>
      <c r="I79">
        <f t="shared" si="1"/>
        <v>0</v>
      </c>
    </row>
    <row r="80" spans="1:9" x14ac:dyDescent="0.3">
      <c r="A80">
        <v>29</v>
      </c>
      <c r="B80">
        <v>11</v>
      </c>
      <c r="C80" s="4">
        <v>29.2</v>
      </c>
      <c r="D80" t="s">
        <v>11</v>
      </c>
      <c r="E80" t="s">
        <v>9</v>
      </c>
      <c r="F80">
        <v>2022</v>
      </c>
      <c r="G80" s="4">
        <v>29.2</v>
      </c>
      <c r="H80">
        <v>68</v>
      </c>
      <c r="I80">
        <f t="shared" si="1"/>
        <v>0</v>
      </c>
    </row>
    <row r="81" spans="1:9" x14ac:dyDescent="0.3">
      <c r="A81">
        <v>30</v>
      </c>
      <c r="B81">
        <v>11</v>
      </c>
      <c r="C81" s="4">
        <v>28.1</v>
      </c>
      <c r="D81" t="s">
        <v>11</v>
      </c>
      <c r="E81" t="s">
        <v>9</v>
      </c>
      <c r="F81">
        <v>2022</v>
      </c>
      <c r="G81" s="4">
        <v>28.1</v>
      </c>
      <c r="H81">
        <v>68</v>
      </c>
      <c r="I81">
        <f t="shared" si="1"/>
        <v>0</v>
      </c>
    </row>
    <row r="82" spans="1:9" x14ac:dyDescent="0.3">
      <c r="A82">
        <v>31</v>
      </c>
      <c r="B82">
        <v>11</v>
      </c>
      <c r="C82" s="4">
        <v>27.9</v>
      </c>
      <c r="D82" t="s">
        <v>11</v>
      </c>
      <c r="E82" t="s">
        <v>9</v>
      </c>
      <c r="F82">
        <v>2022</v>
      </c>
      <c r="G82" s="4">
        <v>27.9</v>
      </c>
      <c r="H82">
        <v>68</v>
      </c>
      <c r="I82">
        <f t="shared" si="1"/>
        <v>0</v>
      </c>
    </row>
    <row r="83" spans="1:9" x14ac:dyDescent="0.3">
      <c r="A83">
        <v>32</v>
      </c>
      <c r="B83">
        <v>11</v>
      </c>
      <c r="C83" s="4">
        <v>27.7</v>
      </c>
      <c r="D83" t="s">
        <v>11</v>
      </c>
      <c r="E83" t="s">
        <v>9</v>
      </c>
      <c r="F83">
        <v>2022</v>
      </c>
      <c r="G83" s="4">
        <v>27.7</v>
      </c>
      <c r="H83">
        <v>68</v>
      </c>
      <c r="I83">
        <f t="shared" si="1"/>
        <v>0</v>
      </c>
    </row>
    <row r="84" spans="1:9" x14ac:dyDescent="0.3">
      <c r="A84">
        <v>33</v>
      </c>
      <c r="B84">
        <v>11</v>
      </c>
      <c r="C84" s="4">
        <v>27.5</v>
      </c>
      <c r="D84" t="s">
        <v>11</v>
      </c>
      <c r="E84" t="s">
        <v>9</v>
      </c>
      <c r="F84">
        <v>2022</v>
      </c>
      <c r="G84" s="4">
        <v>27.5</v>
      </c>
      <c r="H84">
        <v>68</v>
      </c>
      <c r="I84">
        <f t="shared" si="1"/>
        <v>0</v>
      </c>
    </row>
    <row r="85" spans="1:9" x14ac:dyDescent="0.3">
      <c r="A85">
        <v>34</v>
      </c>
      <c r="B85">
        <v>11</v>
      </c>
      <c r="C85" s="4">
        <v>27.4</v>
      </c>
      <c r="D85" t="s">
        <v>11</v>
      </c>
      <c r="E85" t="s">
        <v>9</v>
      </c>
      <c r="F85">
        <v>2022</v>
      </c>
      <c r="G85" s="4">
        <v>27.4</v>
      </c>
      <c r="H85">
        <v>68</v>
      </c>
      <c r="I85">
        <f t="shared" si="1"/>
        <v>0</v>
      </c>
    </row>
    <row r="86" spans="1:9" x14ac:dyDescent="0.3">
      <c r="A86">
        <v>35</v>
      </c>
      <c r="B86">
        <v>11</v>
      </c>
      <c r="C86" s="4">
        <v>26.1</v>
      </c>
      <c r="D86" t="s">
        <v>11</v>
      </c>
      <c r="E86" t="s">
        <v>9</v>
      </c>
      <c r="F86">
        <v>2022</v>
      </c>
      <c r="G86" s="4">
        <v>26.1</v>
      </c>
      <c r="H86">
        <v>68</v>
      </c>
      <c r="I86">
        <f t="shared" si="1"/>
        <v>0</v>
      </c>
    </row>
    <row r="87" spans="1:9" x14ac:dyDescent="0.3">
      <c r="A87">
        <v>1</v>
      </c>
      <c r="B87">
        <v>9</v>
      </c>
      <c r="C87" s="4">
        <v>69.099999999999994</v>
      </c>
      <c r="D87" t="s">
        <v>8</v>
      </c>
      <c r="E87" t="s">
        <v>9</v>
      </c>
      <c r="F87">
        <v>2023</v>
      </c>
      <c r="G87" s="4">
        <v>69.099999999999994</v>
      </c>
      <c r="H87">
        <v>64.7</v>
      </c>
      <c r="I87">
        <f t="shared" si="1"/>
        <v>1</v>
      </c>
    </row>
    <row r="88" spans="1:9" x14ac:dyDescent="0.3">
      <c r="A88">
        <v>2</v>
      </c>
      <c r="B88">
        <v>9</v>
      </c>
      <c r="C88" s="4">
        <v>56.4</v>
      </c>
      <c r="D88" t="s">
        <v>10</v>
      </c>
      <c r="E88" t="s">
        <v>9</v>
      </c>
      <c r="F88">
        <v>2023</v>
      </c>
      <c r="G88" s="4">
        <v>56.399999999999991</v>
      </c>
      <c r="H88">
        <v>64.7</v>
      </c>
      <c r="I88">
        <f t="shared" si="1"/>
        <v>0</v>
      </c>
    </row>
    <row r="89" spans="1:9" x14ac:dyDescent="0.3">
      <c r="A89">
        <v>3</v>
      </c>
      <c r="B89">
        <v>9</v>
      </c>
      <c r="C89" s="4">
        <v>52</v>
      </c>
      <c r="D89" t="s">
        <v>10</v>
      </c>
      <c r="E89" t="s">
        <v>9</v>
      </c>
      <c r="F89">
        <v>2023</v>
      </c>
      <c r="G89" s="4">
        <v>52</v>
      </c>
      <c r="H89">
        <v>64.7</v>
      </c>
      <c r="I89">
        <f t="shared" si="1"/>
        <v>0</v>
      </c>
    </row>
    <row r="90" spans="1:9" x14ac:dyDescent="0.3">
      <c r="A90">
        <v>4</v>
      </c>
      <c r="B90">
        <v>9</v>
      </c>
      <c r="C90" s="4">
        <v>51.2</v>
      </c>
      <c r="D90" t="s">
        <v>10</v>
      </c>
      <c r="E90" t="s">
        <v>9</v>
      </c>
      <c r="F90">
        <v>2023</v>
      </c>
      <c r="G90" s="4">
        <v>51.2</v>
      </c>
      <c r="H90">
        <v>64.7</v>
      </c>
      <c r="I90">
        <f t="shared" si="1"/>
        <v>0</v>
      </c>
    </row>
    <row r="91" spans="1:9" x14ac:dyDescent="0.3">
      <c r="A91">
        <v>5</v>
      </c>
      <c r="B91">
        <v>9</v>
      </c>
      <c r="C91" s="4">
        <v>50</v>
      </c>
      <c r="D91" t="s">
        <v>10</v>
      </c>
      <c r="E91" t="s">
        <v>9</v>
      </c>
      <c r="F91">
        <v>2023</v>
      </c>
      <c r="G91" s="4">
        <v>50</v>
      </c>
      <c r="H91">
        <v>64.7</v>
      </c>
      <c r="I91">
        <f t="shared" si="1"/>
        <v>0</v>
      </c>
    </row>
    <row r="92" spans="1:9" x14ac:dyDescent="0.3">
      <c r="A92">
        <v>6</v>
      </c>
      <c r="B92">
        <v>9</v>
      </c>
      <c r="C92" s="4">
        <v>48.7</v>
      </c>
      <c r="D92" t="s">
        <v>10</v>
      </c>
      <c r="E92" t="s">
        <v>9</v>
      </c>
      <c r="F92">
        <v>2023</v>
      </c>
      <c r="G92" s="4">
        <v>48.7</v>
      </c>
      <c r="H92">
        <v>64.7</v>
      </c>
      <c r="I92">
        <f t="shared" si="1"/>
        <v>0</v>
      </c>
    </row>
    <row r="93" spans="1:9" x14ac:dyDescent="0.3">
      <c r="A93">
        <v>7</v>
      </c>
      <c r="B93">
        <v>9</v>
      </c>
      <c r="C93" s="4">
        <v>47.4</v>
      </c>
      <c r="D93" t="s">
        <v>10</v>
      </c>
      <c r="E93" t="s">
        <v>9</v>
      </c>
      <c r="F93">
        <v>2023</v>
      </c>
      <c r="G93" s="4">
        <v>47.4</v>
      </c>
      <c r="H93">
        <v>64.7</v>
      </c>
      <c r="I93">
        <f t="shared" si="1"/>
        <v>0</v>
      </c>
    </row>
    <row r="94" spans="1:9" x14ac:dyDescent="0.3">
      <c r="A94">
        <v>8</v>
      </c>
      <c r="B94">
        <v>9</v>
      </c>
      <c r="C94" s="4">
        <v>45.1</v>
      </c>
      <c r="D94" t="s">
        <v>10</v>
      </c>
      <c r="E94" t="s">
        <v>9</v>
      </c>
      <c r="F94">
        <v>2023</v>
      </c>
      <c r="G94" s="4">
        <v>45.1</v>
      </c>
      <c r="H94">
        <v>64.7</v>
      </c>
      <c r="I94">
        <f t="shared" si="1"/>
        <v>0</v>
      </c>
    </row>
    <row r="95" spans="1:9" x14ac:dyDescent="0.3">
      <c r="A95">
        <v>9</v>
      </c>
      <c r="B95">
        <v>9</v>
      </c>
      <c r="C95" s="4">
        <v>44.9</v>
      </c>
      <c r="D95" t="s">
        <v>10</v>
      </c>
      <c r="E95" t="s">
        <v>9</v>
      </c>
      <c r="F95">
        <v>2023</v>
      </c>
      <c r="G95" s="4">
        <v>44.9</v>
      </c>
      <c r="H95">
        <v>64.7</v>
      </c>
      <c r="I95">
        <f t="shared" si="1"/>
        <v>0</v>
      </c>
    </row>
    <row r="96" spans="1:9" x14ac:dyDescent="0.3">
      <c r="A96">
        <v>10</v>
      </c>
      <c r="B96">
        <v>9</v>
      </c>
      <c r="C96" s="4">
        <v>43.9</v>
      </c>
      <c r="D96" t="s">
        <v>10</v>
      </c>
      <c r="E96" t="s">
        <v>9</v>
      </c>
      <c r="F96">
        <v>2023</v>
      </c>
      <c r="G96" s="4">
        <v>43.9</v>
      </c>
      <c r="H96">
        <v>64.7</v>
      </c>
      <c r="I96">
        <f t="shared" si="1"/>
        <v>0</v>
      </c>
    </row>
    <row r="97" spans="1:9" x14ac:dyDescent="0.3">
      <c r="A97">
        <v>11</v>
      </c>
      <c r="B97">
        <v>9</v>
      </c>
      <c r="C97" s="4">
        <v>43.7</v>
      </c>
      <c r="D97" t="s">
        <v>11</v>
      </c>
      <c r="E97" t="s">
        <v>9</v>
      </c>
      <c r="F97">
        <v>2023</v>
      </c>
      <c r="G97" s="4">
        <v>43.7</v>
      </c>
      <c r="H97">
        <v>64.7</v>
      </c>
      <c r="I97">
        <f t="shared" si="1"/>
        <v>0</v>
      </c>
    </row>
    <row r="98" spans="1:9" x14ac:dyDescent="0.3">
      <c r="A98">
        <v>12</v>
      </c>
      <c r="B98">
        <v>9</v>
      </c>
      <c r="C98" s="4">
        <v>43</v>
      </c>
      <c r="D98" t="s">
        <v>11</v>
      </c>
      <c r="E98" t="s">
        <v>9</v>
      </c>
      <c r="F98">
        <v>2023</v>
      </c>
      <c r="G98" s="4">
        <v>43</v>
      </c>
      <c r="H98">
        <v>64.7</v>
      </c>
      <c r="I98">
        <f t="shared" si="1"/>
        <v>0</v>
      </c>
    </row>
    <row r="99" spans="1:9" x14ac:dyDescent="0.3">
      <c r="A99">
        <v>13</v>
      </c>
      <c r="B99">
        <v>9</v>
      </c>
      <c r="C99" s="4">
        <v>42.9</v>
      </c>
      <c r="D99" t="s">
        <v>11</v>
      </c>
      <c r="E99" t="s">
        <v>9</v>
      </c>
      <c r="F99">
        <v>2023</v>
      </c>
      <c r="G99" s="4">
        <v>42.9</v>
      </c>
      <c r="H99">
        <v>64.7</v>
      </c>
      <c r="I99">
        <f t="shared" si="1"/>
        <v>0</v>
      </c>
    </row>
    <row r="100" spans="1:9" x14ac:dyDescent="0.3">
      <c r="A100">
        <v>14</v>
      </c>
      <c r="B100">
        <v>9</v>
      </c>
      <c r="C100" s="4">
        <v>42.8</v>
      </c>
      <c r="D100" t="s">
        <v>11</v>
      </c>
      <c r="E100" t="s">
        <v>9</v>
      </c>
      <c r="F100">
        <v>2023</v>
      </c>
      <c r="G100" s="4">
        <v>42.8</v>
      </c>
      <c r="H100">
        <v>64.7</v>
      </c>
      <c r="I100">
        <f t="shared" si="1"/>
        <v>0</v>
      </c>
    </row>
    <row r="101" spans="1:9" x14ac:dyDescent="0.3">
      <c r="A101">
        <v>15</v>
      </c>
      <c r="B101">
        <v>9</v>
      </c>
      <c r="C101" s="4">
        <v>41.5</v>
      </c>
      <c r="D101" t="s">
        <v>11</v>
      </c>
      <c r="E101" t="s">
        <v>9</v>
      </c>
      <c r="F101">
        <v>2023</v>
      </c>
      <c r="G101" s="4">
        <v>41.5</v>
      </c>
      <c r="H101">
        <v>64.7</v>
      </c>
      <c r="I101">
        <f t="shared" si="1"/>
        <v>0</v>
      </c>
    </row>
    <row r="102" spans="1:9" x14ac:dyDescent="0.3">
      <c r="A102">
        <v>16</v>
      </c>
      <c r="B102">
        <v>9</v>
      </c>
      <c r="C102" s="4">
        <v>40.700000000000003</v>
      </c>
      <c r="D102" t="s">
        <v>11</v>
      </c>
      <c r="E102" t="s">
        <v>9</v>
      </c>
      <c r="F102">
        <v>2023</v>
      </c>
      <c r="G102" s="4">
        <v>40.700000000000003</v>
      </c>
      <c r="H102">
        <v>64.7</v>
      </c>
      <c r="I102">
        <f t="shared" si="1"/>
        <v>0</v>
      </c>
    </row>
    <row r="103" spans="1:9" x14ac:dyDescent="0.3">
      <c r="A103">
        <v>17</v>
      </c>
      <c r="B103">
        <v>9</v>
      </c>
      <c r="C103" s="4">
        <v>39.5</v>
      </c>
      <c r="D103" t="s">
        <v>11</v>
      </c>
      <c r="E103" t="s">
        <v>9</v>
      </c>
      <c r="F103">
        <v>2023</v>
      </c>
      <c r="G103" s="4">
        <v>39.5</v>
      </c>
      <c r="H103">
        <v>64.7</v>
      </c>
      <c r="I103">
        <f t="shared" si="1"/>
        <v>0</v>
      </c>
    </row>
    <row r="104" spans="1:9" x14ac:dyDescent="0.3">
      <c r="A104">
        <v>18</v>
      </c>
      <c r="B104">
        <v>9</v>
      </c>
      <c r="C104" s="4">
        <v>38.200000000000003</v>
      </c>
      <c r="D104" t="s">
        <v>11</v>
      </c>
      <c r="E104" t="s">
        <v>9</v>
      </c>
      <c r="F104">
        <v>2023</v>
      </c>
      <c r="G104" s="4">
        <v>38.200000000000003</v>
      </c>
      <c r="H104">
        <v>64.7</v>
      </c>
      <c r="I104">
        <f t="shared" si="1"/>
        <v>0</v>
      </c>
    </row>
    <row r="105" spans="1:9" x14ac:dyDescent="0.3">
      <c r="A105">
        <v>19</v>
      </c>
      <c r="B105">
        <v>9</v>
      </c>
      <c r="C105" s="4">
        <v>37.799999999999997</v>
      </c>
      <c r="D105" t="s">
        <v>11</v>
      </c>
      <c r="E105" t="s">
        <v>9</v>
      </c>
      <c r="F105">
        <v>2023</v>
      </c>
      <c r="G105" s="4">
        <v>37.799999999999997</v>
      </c>
      <c r="H105">
        <v>64.7</v>
      </c>
      <c r="I105">
        <f t="shared" si="1"/>
        <v>0</v>
      </c>
    </row>
    <row r="106" spans="1:9" x14ac:dyDescent="0.3">
      <c r="A106">
        <v>20</v>
      </c>
      <c r="B106">
        <v>9</v>
      </c>
      <c r="C106" s="4">
        <v>36.1</v>
      </c>
      <c r="D106" t="s">
        <v>11</v>
      </c>
      <c r="E106" t="s">
        <v>9</v>
      </c>
      <c r="F106">
        <v>2023</v>
      </c>
      <c r="G106" s="4">
        <v>36.1</v>
      </c>
      <c r="H106">
        <v>64.7</v>
      </c>
      <c r="I106">
        <f t="shared" si="1"/>
        <v>0</v>
      </c>
    </row>
    <row r="107" spans="1:9" x14ac:dyDescent="0.3">
      <c r="A107">
        <v>21</v>
      </c>
      <c r="B107">
        <v>9</v>
      </c>
      <c r="C107" s="4">
        <v>35.5</v>
      </c>
      <c r="D107" t="s">
        <v>11</v>
      </c>
      <c r="E107" t="s">
        <v>9</v>
      </c>
      <c r="F107">
        <v>2023</v>
      </c>
      <c r="G107" s="4">
        <v>35.5</v>
      </c>
      <c r="H107">
        <v>64.7</v>
      </c>
      <c r="I107">
        <f t="shared" si="1"/>
        <v>0</v>
      </c>
    </row>
    <row r="108" spans="1:9" x14ac:dyDescent="0.3">
      <c r="A108">
        <v>22</v>
      </c>
      <c r="B108">
        <v>9</v>
      </c>
      <c r="C108" s="4">
        <v>35.4</v>
      </c>
      <c r="D108" t="s">
        <v>11</v>
      </c>
      <c r="E108" t="s">
        <v>9</v>
      </c>
      <c r="F108">
        <v>2023</v>
      </c>
      <c r="G108" s="4">
        <v>35.4</v>
      </c>
      <c r="H108">
        <v>64.7</v>
      </c>
      <c r="I108">
        <f t="shared" si="1"/>
        <v>0</v>
      </c>
    </row>
    <row r="109" spans="1:9" x14ac:dyDescent="0.3">
      <c r="A109">
        <v>23</v>
      </c>
      <c r="B109">
        <v>9</v>
      </c>
      <c r="C109" s="4">
        <v>34.700000000000003</v>
      </c>
      <c r="D109" t="s">
        <v>11</v>
      </c>
      <c r="E109" t="s">
        <v>9</v>
      </c>
      <c r="F109">
        <v>2023</v>
      </c>
      <c r="G109" s="4">
        <v>34.700000000000003</v>
      </c>
      <c r="H109">
        <v>64.7</v>
      </c>
      <c r="I109">
        <f t="shared" si="1"/>
        <v>0</v>
      </c>
    </row>
    <row r="110" spans="1:9" x14ac:dyDescent="0.3">
      <c r="A110">
        <v>24</v>
      </c>
      <c r="B110">
        <v>9</v>
      </c>
      <c r="C110" s="4">
        <v>33.5</v>
      </c>
      <c r="D110" t="s">
        <v>11</v>
      </c>
      <c r="E110" t="s">
        <v>9</v>
      </c>
      <c r="F110">
        <v>2023</v>
      </c>
      <c r="G110" s="4">
        <v>33.5</v>
      </c>
      <c r="H110">
        <v>64.7</v>
      </c>
      <c r="I110">
        <f t="shared" si="1"/>
        <v>0</v>
      </c>
    </row>
    <row r="111" spans="1:9" x14ac:dyDescent="0.3">
      <c r="A111">
        <v>25</v>
      </c>
      <c r="B111">
        <v>9</v>
      </c>
      <c r="C111" s="4">
        <v>33</v>
      </c>
      <c r="D111" t="s">
        <v>11</v>
      </c>
      <c r="E111" t="s">
        <v>9</v>
      </c>
      <c r="F111">
        <v>2023</v>
      </c>
      <c r="G111" s="4">
        <v>33</v>
      </c>
      <c r="H111">
        <v>64.7</v>
      </c>
      <c r="I111">
        <f t="shared" si="1"/>
        <v>0</v>
      </c>
    </row>
    <row r="112" spans="1:9" x14ac:dyDescent="0.3">
      <c r="A112">
        <v>26</v>
      </c>
      <c r="B112">
        <v>9</v>
      </c>
      <c r="C112" s="4">
        <v>32.299999999999997</v>
      </c>
      <c r="D112" t="s">
        <v>11</v>
      </c>
      <c r="E112" t="s">
        <v>9</v>
      </c>
      <c r="F112">
        <v>2023</v>
      </c>
      <c r="G112" s="4">
        <v>32.299999999999997</v>
      </c>
      <c r="H112">
        <v>64.7</v>
      </c>
      <c r="I112">
        <f t="shared" si="1"/>
        <v>0</v>
      </c>
    </row>
    <row r="113" spans="1:9" x14ac:dyDescent="0.3">
      <c r="A113">
        <v>27</v>
      </c>
      <c r="B113">
        <v>9</v>
      </c>
      <c r="C113" s="4">
        <v>30.8</v>
      </c>
      <c r="D113" t="s">
        <v>11</v>
      </c>
      <c r="E113" t="s">
        <v>9</v>
      </c>
      <c r="F113">
        <v>2023</v>
      </c>
      <c r="G113" s="4">
        <v>30.8</v>
      </c>
      <c r="H113">
        <v>64.7</v>
      </c>
      <c r="I113">
        <f t="shared" si="1"/>
        <v>0</v>
      </c>
    </row>
    <row r="114" spans="1:9" x14ac:dyDescent="0.3">
      <c r="A114">
        <v>28</v>
      </c>
      <c r="B114">
        <v>9</v>
      </c>
      <c r="C114" s="4">
        <v>30.3</v>
      </c>
      <c r="D114" t="s">
        <v>11</v>
      </c>
      <c r="E114" t="s">
        <v>9</v>
      </c>
      <c r="F114">
        <v>2023</v>
      </c>
      <c r="G114" s="4">
        <v>30.3</v>
      </c>
      <c r="H114">
        <v>64.7</v>
      </c>
      <c r="I114">
        <f t="shared" si="1"/>
        <v>0</v>
      </c>
    </row>
    <row r="115" spans="1:9" x14ac:dyDescent="0.3">
      <c r="A115">
        <v>29</v>
      </c>
      <c r="B115">
        <v>9</v>
      </c>
      <c r="C115" s="4">
        <v>29.9</v>
      </c>
      <c r="D115" t="s">
        <v>11</v>
      </c>
      <c r="E115" t="s">
        <v>9</v>
      </c>
      <c r="F115">
        <v>2023</v>
      </c>
      <c r="G115" s="4">
        <v>29.9</v>
      </c>
      <c r="H115">
        <v>64.7</v>
      </c>
      <c r="I115">
        <f t="shared" si="1"/>
        <v>0</v>
      </c>
    </row>
    <row r="116" spans="1:9" x14ac:dyDescent="0.3">
      <c r="A116">
        <v>30</v>
      </c>
      <c r="B116">
        <v>9</v>
      </c>
      <c r="C116" s="4">
        <v>28.9</v>
      </c>
      <c r="D116" t="s">
        <v>11</v>
      </c>
      <c r="E116" t="s">
        <v>9</v>
      </c>
      <c r="F116">
        <v>2023</v>
      </c>
      <c r="G116" s="4">
        <v>28.9</v>
      </c>
      <c r="H116">
        <v>64.7</v>
      </c>
      <c r="I116">
        <f t="shared" si="1"/>
        <v>0</v>
      </c>
    </row>
    <row r="117" spans="1:9" x14ac:dyDescent="0.3">
      <c r="A117">
        <v>31</v>
      </c>
      <c r="B117">
        <v>9</v>
      </c>
      <c r="C117" s="4">
        <v>27.8</v>
      </c>
      <c r="D117" t="s">
        <v>11</v>
      </c>
      <c r="E117" t="s">
        <v>9</v>
      </c>
      <c r="F117">
        <v>2023</v>
      </c>
      <c r="G117" s="4">
        <v>27.8</v>
      </c>
      <c r="H117">
        <v>64.7</v>
      </c>
      <c r="I117">
        <f t="shared" si="1"/>
        <v>0</v>
      </c>
    </row>
    <row r="118" spans="1:9" x14ac:dyDescent="0.3">
      <c r="A118">
        <v>1</v>
      </c>
      <c r="B118">
        <v>10</v>
      </c>
      <c r="C118" s="4">
        <v>57.3</v>
      </c>
      <c r="D118" t="s">
        <v>8</v>
      </c>
      <c r="E118" t="s">
        <v>9</v>
      </c>
      <c r="F118">
        <v>2023</v>
      </c>
      <c r="G118" s="4">
        <v>57.3</v>
      </c>
      <c r="H118">
        <v>64.3</v>
      </c>
      <c r="I118">
        <f t="shared" si="1"/>
        <v>0</v>
      </c>
    </row>
    <row r="119" spans="1:9" x14ac:dyDescent="0.3">
      <c r="A119">
        <v>2</v>
      </c>
      <c r="B119">
        <v>10</v>
      </c>
      <c r="C119" s="4">
        <v>54.4</v>
      </c>
      <c r="D119" t="s">
        <v>8</v>
      </c>
      <c r="E119" t="s">
        <v>9</v>
      </c>
      <c r="F119">
        <v>2023</v>
      </c>
      <c r="G119" s="4">
        <v>54.400000000000013</v>
      </c>
      <c r="H119">
        <v>64.3</v>
      </c>
      <c r="I119">
        <f t="shared" si="1"/>
        <v>0</v>
      </c>
    </row>
    <row r="120" spans="1:9" x14ac:dyDescent="0.3">
      <c r="A120">
        <v>3</v>
      </c>
      <c r="B120">
        <v>10</v>
      </c>
      <c r="C120" s="4">
        <v>53.1</v>
      </c>
      <c r="D120" t="s">
        <v>10</v>
      </c>
      <c r="E120" t="s">
        <v>9</v>
      </c>
      <c r="F120">
        <v>2023</v>
      </c>
      <c r="G120" s="4">
        <v>53.1</v>
      </c>
      <c r="H120">
        <v>64.3</v>
      </c>
      <c r="I120">
        <f t="shared" si="1"/>
        <v>0</v>
      </c>
    </row>
    <row r="121" spans="1:9" x14ac:dyDescent="0.3">
      <c r="A121">
        <v>4</v>
      </c>
      <c r="B121">
        <v>10</v>
      </c>
      <c r="C121" s="4">
        <v>52.4</v>
      </c>
      <c r="D121" t="s">
        <v>10</v>
      </c>
      <c r="E121" t="s">
        <v>9</v>
      </c>
      <c r="F121">
        <v>2023</v>
      </c>
      <c r="G121" s="4">
        <v>52.400000000000013</v>
      </c>
      <c r="H121">
        <v>64.3</v>
      </c>
      <c r="I121">
        <f t="shared" si="1"/>
        <v>0</v>
      </c>
    </row>
    <row r="122" spans="1:9" x14ac:dyDescent="0.3">
      <c r="A122">
        <v>5</v>
      </c>
      <c r="B122">
        <v>10</v>
      </c>
      <c r="C122" s="4">
        <v>52.1</v>
      </c>
      <c r="D122" t="s">
        <v>10</v>
      </c>
      <c r="E122" t="s">
        <v>9</v>
      </c>
      <c r="F122">
        <v>2023</v>
      </c>
      <c r="G122" s="4">
        <v>52.1</v>
      </c>
      <c r="H122">
        <v>64.3</v>
      </c>
      <c r="I122">
        <f t="shared" si="1"/>
        <v>0</v>
      </c>
    </row>
    <row r="123" spans="1:9" x14ac:dyDescent="0.3">
      <c r="A123">
        <v>6</v>
      </c>
      <c r="B123">
        <v>10</v>
      </c>
      <c r="C123" s="4">
        <v>49.6</v>
      </c>
      <c r="D123" t="s">
        <v>10</v>
      </c>
      <c r="E123" t="s">
        <v>9</v>
      </c>
      <c r="F123">
        <v>2023</v>
      </c>
      <c r="G123" s="4">
        <v>49.6</v>
      </c>
      <c r="H123">
        <v>64.3</v>
      </c>
      <c r="I123">
        <f t="shared" si="1"/>
        <v>0</v>
      </c>
    </row>
    <row r="124" spans="1:9" x14ac:dyDescent="0.3">
      <c r="A124">
        <v>7</v>
      </c>
      <c r="B124">
        <v>10</v>
      </c>
      <c r="C124" s="4">
        <v>49</v>
      </c>
      <c r="D124" t="s">
        <v>10</v>
      </c>
      <c r="E124" t="s">
        <v>9</v>
      </c>
      <c r="F124">
        <v>2023</v>
      </c>
      <c r="G124" s="4">
        <v>49</v>
      </c>
      <c r="H124">
        <v>64.3</v>
      </c>
      <c r="I124">
        <f t="shared" si="1"/>
        <v>0</v>
      </c>
    </row>
    <row r="125" spans="1:9" x14ac:dyDescent="0.3">
      <c r="A125">
        <v>8</v>
      </c>
      <c r="B125">
        <v>10</v>
      </c>
      <c r="C125" s="4">
        <v>48.4</v>
      </c>
      <c r="D125" t="s">
        <v>10</v>
      </c>
      <c r="E125" t="s">
        <v>9</v>
      </c>
      <c r="F125">
        <v>2023</v>
      </c>
      <c r="G125" s="4">
        <v>48.4</v>
      </c>
      <c r="H125">
        <v>64.3</v>
      </c>
      <c r="I125">
        <f t="shared" si="1"/>
        <v>0</v>
      </c>
    </row>
    <row r="126" spans="1:9" x14ac:dyDescent="0.3">
      <c r="A126">
        <v>9</v>
      </c>
      <c r="B126">
        <v>10</v>
      </c>
      <c r="C126" s="4">
        <v>46.4</v>
      </c>
      <c r="D126" t="s">
        <v>10</v>
      </c>
      <c r="E126" t="s">
        <v>9</v>
      </c>
      <c r="F126">
        <v>2023</v>
      </c>
      <c r="G126" s="4">
        <v>46.4</v>
      </c>
      <c r="H126">
        <v>64.3</v>
      </c>
      <c r="I126">
        <f t="shared" si="1"/>
        <v>0</v>
      </c>
    </row>
    <row r="127" spans="1:9" x14ac:dyDescent="0.3">
      <c r="A127">
        <v>10</v>
      </c>
      <c r="B127">
        <v>10</v>
      </c>
      <c r="C127" s="4">
        <v>45.7</v>
      </c>
      <c r="D127" t="s">
        <v>10</v>
      </c>
      <c r="E127" t="s">
        <v>9</v>
      </c>
      <c r="F127">
        <v>2023</v>
      </c>
      <c r="G127" s="4">
        <v>45.7</v>
      </c>
      <c r="H127">
        <v>64.3</v>
      </c>
      <c r="I127">
        <f t="shared" si="1"/>
        <v>0</v>
      </c>
    </row>
    <row r="128" spans="1:9" x14ac:dyDescent="0.3">
      <c r="A128">
        <v>11</v>
      </c>
      <c r="B128">
        <v>10</v>
      </c>
      <c r="C128" s="4">
        <v>45.1</v>
      </c>
      <c r="D128" t="s">
        <v>10</v>
      </c>
      <c r="E128" t="s">
        <v>9</v>
      </c>
      <c r="F128">
        <v>2023</v>
      </c>
      <c r="G128" s="4">
        <v>45.1</v>
      </c>
      <c r="H128">
        <v>64.3</v>
      </c>
      <c r="I128">
        <f t="shared" si="1"/>
        <v>0</v>
      </c>
    </row>
    <row r="129" spans="1:9" x14ac:dyDescent="0.3">
      <c r="A129">
        <v>12</v>
      </c>
      <c r="B129">
        <v>10</v>
      </c>
      <c r="C129" s="4">
        <v>44.6</v>
      </c>
      <c r="D129" t="s">
        <v>10</v>
      </c>
      <c r="E129" t="s">
        <v>9</v>
      </c>
      <c r="F129">
        <v>2023</v>
      </c>
      <c r="G129" s="4">
        <v>44.6</v>
      </c>
      <c r="H129">
        <v>64.3</v>
      </c>
      <c r="I129">
        <f t="shared" si="1"/>
        <v>0</v>
      </c>
    </row>
    <row r="130" spans="1:9" x14ac:dyDescent="0.3">
      <c r="A130">
        <v>13</v>
      </c>
      <c r="B130">
        <v>10</v>
      </c>
      <c r="C130" s="4">
        <v>43.8</v>
      </c>
      <c r="D130" t="s">
        <v>11</v>
      </c>
      <c r="E130" t="s">
        <v>9</v>
      </c>
      <c r="F130">
        <v>2023</v>
      </c>
      <c r="G130" s="4">
        <v>43.8</v>
      </c>
      <c r="H130">
        <v>64.3</v>
      </c>
      <c r="I130">
        <f t="shared" si="1"/>
        <v>0</v>
      </c>
    </row>
    <row r="131" spans="1:9" x14ac:dyDescent="0.3">
      <c r="A131">
        <v>14</v>
      </c>
      <c r="B131">
        <v>10</v>
      </c>
      <c r="C131" s="4">
        <v>42.7</v>
      </c>
      <c r="D131" t="s">
        <v>11</v>
      </c>
      <c r="E131" t="s">
        <v>9</v>
      </c>
      <c r="F131">
        <v>2023</v>
      </c>
      <c r="G131" s="4">
        <v>42.7</v>
      </c>
      <c r="H131">
        <v>64.3</v>
      </c>
      <c r="I131">
        <f t="shared" ref="I131:I194" si="2">IF(C131&gt;=H131,1,0)</f>
        <v>0</v>
      </c>
    </row>
    <row r="132" spans="1:9" x14ac:dyDescent="0.3">
      <c r="A132">
        <v>15</v>
      </c>
      <c r="B132">
        <v>10</v>
      </c>
      <c r="C132" s="4">
        <v>40.9</v>
      </c>
      <c r="D132" t="s">
        <v>11</v>
      </c>
      <c r="E132" t="s">
        <v>9</v>
      </c>
      <c r="F132">
        <v>2023</v>
      </c>
      <c r="G132" s="4">
        <v>40.9</v>
      </c>
      <c r="H132">
        <v>64.3</v>
      </c>
      <c r="I132">
        <f t="shared" si="2"/>
        <v>0</v>
      </c>
    </row>
    <row r="133" spans="1:9" x14ac:dyDescent="0.3">
      <c r="A133">
        <v>16</v>
      </c>
      <c r="B133">
        <v>10</v>
      </c>
      <c r="C133" s="4">
        <v>40.700000000000003</v>
      </c>
      <c r="D133" t="s">
        <v>11</v>
      </c>
      <c r="E133" t="s">
        <v>9</v>
      </c>
      <c r="F133">
        <v>2023</v>
      </c>
      <c r="G133" s="4">
        <v>40.700000000000003</v>
      </c>
      <c r="H133">
        <v>64.3</v>
      </c>
      <c r="I133">
        <f t="shared" si="2"/>
        <v>0</v>
      </c>
    </row>
    <row r="134" spans="1:9" x14ac:dyDescent="0.3">
      <c r="A134">
        <v>17</v>
      </c>
      <c r="B134">
        <v>10</v>
      </c>
      <c r="C134" s="4">
        <v>39.6</v>
      </c>
      <c r="D134" t="s">
        <v>11</v>
      </c>
      <c r="E134" t="s">
        <v>9</v>
      </c>
      <c r="F134">
        <v>2023</v>
      </c>
      <c r="G134" s="4">
        <v>39.6</v>
      </c>
      <c r="H134">
        <v>64.3</v>
      </c>
      <c r="I134">
        <f t="shared" si="2"/>
        <v>0</v>
      </c>
    </row>
    <row r="135" spans="1:9" x14ac:dyDescent="0.3">
      <c r="A135">
        <v>18</v>
      </c>
      <c r="B135">
        <v>10</v>
      </c>
      <c r="C135" s="4">
        <v>37.5</v>
      </c>
      <c r="D135" t="s">
        <v>11</v>
      </c>
      <c r="E135" t="s">
        <v>9</v>
      </c>
      <c r="F135">
        <v>2023</v>
      </c>
      <c r="G135" s="4">
        <v>37.5</v>
      </c>
      <c r="H135">
        <v>64.3</v>
      </c>
      <c r="I135">
        <f t="shared" si="2"/>
        <v>0</v>
      </c>
    </row>
    <row r="136" spans="1:9" x14ac:dyDescent="0.3">
      <c r="A136">
        <v>19</v>
      </c>
      <c r="B136">
        <v>10</v>
      </c>
      <c r="C136" s="4">
        <v>36.4</v>
      </c>
      <c r="D136" t="s">
        <v>11</v>
      </c>
      <c r="E136" t="s">
        <v>9</v>
      </c>
      <c r="F136">
        <v>2023</v>
      </c>
      <c r="G136" s="4">
        <v>36.4</v>
      </c>
      <c r="H136">
        <v>64.3</v>
      </c>
      <c r="I136">
        <f t="shared" si="2"/>
        <v>0</v>
      </c>
    </row>
    <row r="137" spans="1:9" x14ac:dyDescent="0.3">
      <c r="A137">
        <v>20</v>
      </c>
      <c r="B137">
        <v>10</v>
      </c>
      <c r="C137" s="4">
        <v>36.299999999999997</v>
      </c>
      <c r="D137" t="s">
        <v>11</v>
      </c>
      <c r="E137" t="s">
        <v>9</v>
      </c>
      <c r="F137">
        <v>2023</v>
      </c>
      <c r="G137" s="4">
        <v>36.299999999999997</v>
      </c>
      <c r="H137">
        <v>64.3</v>
      </c>
      <c r="I137">
        <f t="shared" si="2"/>
        <v>0</v>
      </c>
    </row>
    <row r="138" spans="1:9" x14ac:dyDescent="0.3">
      <c r="A138">
        <v>21</v>
      </c>
      <c r="B138">
        <v>10</v>
      </c>
      <c r="C138" s="4">
        <v>36</v>
      </c>
      <c r="D138" t="s">
        <v>11</v>
      </c>
      <c r="E138" t="s">
        <v>9</v>
      </c>
      <c r="F138">
        <v>2023</v>
      </c>
      <c r="G138" s="4">
        <v>36</v>
      </c>
      <c r="H138">
        <v>64.3</v>
      </c>
      <c r="I138">
        <f t="shared" si="2"/>
        <v>0</v>
      </c>
    </row>
    <row r="139" spans="1:9" x14ac:dyDescent="0.3">
      <c r="A139">
        <v>22</v>
      </c>
      <c r="B139">
        <v>10</v>
      </c>
      <c r="C139" s="4">
        <v>35.299999999999997</v>
      </c>
      <c r="D139" t="s">
        <v>11</v>
      </c>
      <c r="E139" t="s">
        <v>9</v>
      </c>
      <c r="F139">
        <v>2023</v>
      </c>
      <c r="G139" s="4">
        <v>35.299999999999997</v>
      </c>
      <c r="H139">
        <v>64.3</v>
      </c>
      <c r="I139">
        <f t="shared" si="2"/>
        <v>0</v>
      </c>
    </row>
    <row r="140" spans="1:9" x14ac:dyDescent="0.3">
      <c r="A140">
        <v>23</v>
      </c>
      <c r="B140">
        <v>10</v>
      </c>
      <c r="C140" s="4">
        <v>35.200000000000003</v>
      </c>
      <c r="D140" t="s">
        <v>11</v>
      </c>
      <c r="E140" t="s">
        <v>9</v>
      </c>
      <c r="F140">
        <v>2023</v>
      </c>
      <c r="G140" s="4">
        <v>35.200000000000003</v>
      </c>
      <c r="H140">
        <v>64.3</v>
      </c>
      <c r="I140">
        <f t="shared" si="2"/>
        <v>0</v>
      </c>
    </row>
    <row r="141" spans="1:9" x14ac:dyDescent="0.3">
      <c r="A141">
        <v>24</v>
      </c>
      <c r="B141">
        <v>10</v>
      </c>
      <c r="C141" s="4">
        <v>31.4</v>
      </c>
      <c r="D141" t="s">
        <v>11</v>
      </c>
      <c r="E141" t="s">
        <v>9</v>
      </c>
      <c r="F141">
        <v>2023</v>
      </c>
      <c r="G141" s="4">
        <v>31.4</v>
      </c>
      <c r="H141">
        <v>64.3</v>
      </c>
      <c r="I141">
        <f t="shared" si="2"/>
        <v>0</v>
      </c>
    </row>
    <row r="142" spans="1:9" x14ac:dyDescent="0.3">
      <c r="A142">
        <v>25</v>
      </c>
      <c r="B142">
        <v>10</v>
      </c>
      <c r="C142" s="4">
        <v>31.2</v>
      </c>
      <c r="D142" t="s">
        <v>11</v>
      </c>
      <c r="E142" t="s">
        <v>9</v>
      </c>
      <c r="F142">
        <v>2023</v>
      </c>
      <c r="G142" s="4">
        <v>31.2</v>
      </c>
      <c r="H142">
        <v>64.3</v>
      </c>
      <c r="I142">
        <f t="shared" si="2"/>
        <v>0</v>
      </c>
    </row>
    <row r="143" spans="1:9" x14ac:dyDescent="0.3">
      <c r="A143">
        <v>26</v>
      </c>
      <c r="B143">
        <v>10</v>
      </c>
      <c r="C143" s="4">
        <v>31</v>
      </c>
      <c r="D143" t="s">
        <v>11</v>
      </c>
      <c r="E143" t="s">
        <v>9</v>
      </c>
      <c r="F143">
        <v>2023</v>
      </c>
      <c r="G143" s="4">
        <v>31</v>
      </c>
      <c r="H143">
        <v>64.3</v>
      </c>
      <c r="I143">
        <f t="shared" si="2"/>
        <v>0</v>
      </c>
    </row>
    <row r="144" spans="1:9" x14ac:dyDescent="0.3">
      <c r="A144">
        <v>27</v>
      </c>
      <c r="B144">
        <v>10</v>
      </c>
      <c r="C144" s="4">
        <v>29.9</v>
      </c>
      <c r="D144" t="s">
        <v>11</v>
      </c>
      <c r="E144" t="s">
        <v>9</v>
      </c>
      <c r="F144">
        <v>2023</v>
      </c>
      <c r="G144" s="4">
        <v>29.9</v>
      </c>
      <c r="H144">
        <v>64.3</v>
      </c>
      <c r="I144">
        <f t="shared" si="2"/>
        <v>0</v>
      </c>
    </row>
    <row r="145" spans="1:9" x14ac:dyDescent="0.3">
      <c r="A145">
        <v>28</v>
      </c>
      <c r="B145">
        <v>10</v>
      </c>
      <c r="C145" s="4">
        <v>19.3</v>
      </c>
      <c r="D145" t="s">
        <v>11</v>
      </c>
      <c r="E145" t="s">
        <v>9</v>
      </c>
      <c r="F145">
        <v>2023</v>
      </c>
      <c r="G145" s="4">
        <v>19.3</v>
      </c>
      <c r="H145">
        <v>64.3</v>
      </c>
      <c r="I145">
        <f t="shared" si="2"/>
        <v>0</v>
      </c>
    </row>
    <row r="146" spans="1:9" x14ac:dyDescent="0.3">
      <c r="A146">
        <v>1</v>
      </c>
      <c r="B146">
        <v>11</v>
      </c>
      <c r="C146" s="4">
        <v>68.5</v>
      </c>
      <c r="D146" t="s">
        <v>8</v>
      </c>
      <c r="E146" t="s">
        <v>9</v>
      </c>
      <c r="F146">
        <v>2023</v>
      </c>
      <c r="G146" s="4">
        <v>68.5</v>
      </c>
      <c r="H146">
        <v>72.400000000000006</v>
      </c>
      <c r="I146">
        <f t="shared" si="2"/>
        <v>0</v>
      </c>
    </row>
    <row r="147" spans="1:9" x14ac:dyDescent="0.3">
      <c r="A147">
        <v>2</v>
      </c>
      <c r="B147">
        <v>11</v>
      </c>
      <c r="C147" s="4">
        <v>53.3</v>
      </c>
      <c r="D147" t="s">
        <v>10</v>
      </c>
      <c r="E147" t="s">
        <v>9</v>
      </c>
      <c r="F147">
        <v>2023</v>
      </c>
      <c r="G147" s="4">
        <v>53.29999999999999</v>
      </c>
      <c r="H147">
        <v>72.400000000000006</v>
      </c>
      <c r="I147">
        <f t="shared" si="2"/>
        <v>0</v>
      </c>
    </row>
    <row r="148" spans="1:9" x14ac:dyDescent="0.3">
      <c r="A148">
        <v>3</v>
      </c>
      <c r="B148">
        <v>11</v>
      </c>
      <c r="C148" s="4">
        <v>46.6</v>
      </c>
      <c r="D148" t="s">
        <v>10</v>
      </c>
      <c r="E148" t="s">
        <v>9</v>
      </c>
      <c r="F148">
        <v>2023</v>
      </c>
      <c r="G148" s="4">
        <v>46.6</v>
      </c>
      <c r="H148">
        <v>72.400000000000006</v>
      </c>
      <c r="I148">
        <f t="shared" si="2"/>
        <v>0</v>
      </c>
    </row>
    <row r="149" spans="1:9" x14ac:dyDescent="0.3">
      <c r="A149">
        <v>4</v>
      </c>
      <c r="B149">
        <v>11</v>
      </c>
      <c r="C149" s="4">
        <v>45.4</v>
      </c>
      <c r="D149" t="s">
        <v>10</v>
      </c>
      <c r="E149" t="s">
        <v>9</v>
      </c>
      <c r="F149">
        <v>2023</v>
      </c>
      <c r="G149" s="4">
        <v>45.4</v>
      </c>
      <c r="H149">
        <v>72.400000000000006</v>
      </c>
      <c r="I149">
        <f t="shared" si="2"/>
        <v>0</v>
      </c>
    </row>
    <row r="150" spans="1:9" x14ac:dyDescent="0.3">
      <c r="A150">
        <v>5</v>
      </c>
      <c r="B150">
        <v>11</v>
      </c>
      <c r="C150" s="4">
        <v>43.9</v>
      </c>
      <c r="D150" t="s">
        <v>10</v>
      </c>
      <c r="E150" t="s">
        <v>9</v>
      </c>
      <c r="F150">
        <v>2023</v>
      </c>
      <c r="G150" s="4">
        <v>43.9</v>
      </c>
      <c r="H150">
        <v>72.400000000000006</v>
      </c>
      <c r="I150">
        <f t="shared" si="2"/>
        <v>0</v>
      </c>
    </row>
    <row r="151" spans="1:9" x14ac:dyDescent="0.3">
      <c r="A151">
        <v>6</v>
      </c>
      <c r="B151">
        <v>11</v>
      </c>
      <c r="C151" s="4">
        <v>43.2</v>
      </c>
      <c r="D151" t="s">
        <v>10</v>
      </c>
      <c r="E151" t="s">
        <v>9</v>
      </c>
      <c r="F151">
        <v>2023</v>
      </c>
      <c r="G151" s="4">
        <v>43.2</v>
      </c>
      <c r="H151">
        <v>72.400000000000006</v>
      </c>
      <c r="I151">
        <f t="shared" si="2"/>
        <v>0</v>
      </c>
    </row>
    <row r="152" spans="1:9" x14ac:dyDescent="0.3">
      <c r="A152">
        <v>7</v>
      </c>
      <c r="B152">
        <v>11</v>
      </c>
      <c r="C152" s="4">
        <v>42.6</v>
      </c>
      <c r="D152" t="s">
        <v>10</v>
      </c>
      <c r="E152" t="s">
        <v>9</v>
      </c>
      <c r="F152">
        <v>2023</v>
      </c>
      <c r="G152" s="4">
        <v>42.6</v>
      </c>
      <c r="H152">
        <v>72.400000000000006</v>
      </c>
      <c r="I152">
        <f t="shared" si="2"/>
        <v>0</v>
      </c>
    </row>
    <row r="153" spans="1:9" x14ac:dyDescent="0.3">
      <c r="A153">
        <v>8</v>
      </c>
      <c r="B153">
        <v>11</v>
      </c>
      <c r="C153" s="4">
        <v>41.9</v>
      </c>
      <c r="D153" t="s">
        <v>10</v>
      </c>
      <c r="E153" t="s">
        <v>9</v>
      </c>
      <c r="F153">
        <v>2023</v>
      </c>
      <c r="G153" s="4">
        <v>41.9</v>
      </c>
      <c r="H153">
        <v>72.400000000000006</v>
      </c>
      <c r="I153">
        <f t="shared" si="2"/>
        <v>0</v>
      </c>
    </row>
    <row r="154" spans="1:9" x14ac:dyDescent="0.3">
      <c r="A154">
        <v>9</v>
      </c>
      <c r="B154">
        <v>11</v>
      </c>
      <c r="C154" s="4">
        <v>41.3</v>
      </c>
      <c r="D154" t="s">
        <v>10</v>
      </c>
      <c r="E154" t="s">
        <v>9</v>
      </c>
      <c r="F154">
        <v>2023</v>
      </c>
      <c r="G154" s="4">
        <v>41.3</v>
      </c>
      <c r="H154">
        <v>72.400000000000006</v>
      </c>
      <c r="I154">
        <f t="shared" si="2"/>
        <v>0</v>
      </c>
    </row>
    <row r="155" spans="1:9" x14ac:dyDescent="0.3">
      <c r="A155">
        <v>10</v>
      </c>
      <c r="B155">
        <v>11</v>
      </c>
      <c r="C155" s="4">
        <v>40.299999999999997</v>
      </c>
      <c r="D155" t="s">
        <v>11</v>
      </c>
      <c r="E155" t="s">
        <v>9</v>
      </c>
      <c r="F155">
        <v>2023</v>
      </c>
      <c r="G155" s="4">
        <v>40.299999999999997</v>
      </c>
      <c r="H155">
        <v>72.400000000000006</v>
      </c>
      <c r="I155">
        <f t="shared" si="2"/>
        <v>0</v>
      </c>
    </row>
    <row r="156" spans="1:9" x14ac:dyDescent="0.3">
      <c r="A156">
        <v>11</v>
      </c>
      <c r="B156">
        <v>11</v>
      </c>
      <c r="C156" s="4">
        <v>39.4</v>
      </c>
      <c r="D156" t="s">
        <v>11</v>
      </c>
      <c r="E156" t="s">
        <v>9</v>
      </c>
      <c r="F156">
        <v>2023</v>
      </c>
      <c r="G156" s="4">
        <v>39.4</v>
      </c>
      <c r="H156">
        <v>72.400000000000006</v>
      </c>
      <c r="I156">
        <f t="shared" si="2"/>
        <v>0</v>
      </c>
    </row>
    <row r="157" spans="1:9" x14ac:dyDescent="0.3">
      <c r="A157">
        <v>12</v>
      </c>
      <c r="B157">
        <v>11</v>
      </c>
      <c r="C157" s="4">
        <v>39.1</v>
      </c>
      <c r="D157" t="s">
        <v>11</v>
      </c>
      <c r="E157" t="s">
        <v>9</v>
      </c>
      <c r="F157">
        <v>2023</v>
      </c>
      <c r="G157" s="4">
        <v>39.1</v>
      </c>
      <c r="H157">
        <v>72.400000000000006</v>
      </c>
      <c r="I157">
        <f t="shared" si="2"/>
        <v>0</v>
      </c>
    </row>
    <row r="158" spans="1:9" x14ac:dyDescent="0.3">
      <c r="A158">
        <v>13</v>
      </c>
      <c r="B158">
        <v>11</v>
      </c>
      <c r="C158" s="4">
        <v>38.299999999999997</v>
      </c>
      <c r="D158" t="s">
        <v>11</v>
      </c>
      <c r="E158" t="s">
        <v>9</v>
      </c>
      <c r="F158">
        <v>2023</v>
      </c>
      <c r="G158" s="4">
        <v>38.299999999999997</v>
      </c>
      <c r="H158">
        <v>72.400000000000006</v>
      </c>
      <c r="I158">
        <f t="shared" si="2"/>
        <v>0</v>
      </c>
    </row>
    <row r="159" spans="1:9" x14ac:dyDescent="0.3">
      <c r="A159">
        <v>14</v>
      </c>
      <c r="B159">
        <v>11</v>
      </c>
      <c r="C159" s="4">
        <v>37</v>
      </c>
      <c r="D159" t="s">
        <v>11</v>
      </c>
      <c r="E159" t="s">
        <v>9</v>
      </c>
      <c r="F159">
        <v>2023</v>
      </c>
      <c r="G159" s="4">
        <v>37</v>
      </c>
      <c r="H159">
        <v>72.400000000000006</v>
      </c>
      <c r="I159">
        <f t="shared" si="2"/>
        <v>0</v>
      </c>
    </row>
    <row r="160" spans="1:9" x14ac:dyDescent="0.3">
      <c r="A160">
        <v>15</v>
      </c>
      <c r="B160">
        <v>11</v>
      </c>
      <c r="C160" s="4">
        <v>35</v>
      </c>
      <c r="D160" t="s">
        <v>11</v>
      </c>
      <c r="E160" t="s">
        <v>9</v>
      </c>
      <c r="F160">
        <v>2023</v>
      </c>
      <c r="G160" s="4">
        <v>35</v>
      </c>
      <c r="H160">
        <v>72.400000000000006</v>
      </c>
      <c r="I160">
        <f t="shared" si="2"/>
        <v>0</v>
      </c>
    </row>
    <row r="161" spans="1:9" x14ac:dyDescent="0.3">
      <c r="A161">
        <v>16</v>
      </c>
      <c r="B161">
        <v>11</v>
      </c>
      <c r="C161" s="4">
        <v>34.700000000000003</v>
      </c>
      <c r="D161" t="s">
        <v>11</v>
      </c>
      <c r="E161" t="s">
        <v>9</v>
      </c>
      <c r="F161">
        <v>2023</v>
      </c>
      <c r="G161" s="4">
        <v>34.700000000000003</v>
      </c>
      <c r="H161">
        <v>72.400000000000006</v>
      </c>
      <c r="I161">
        <f t="shared" si="2"/>
        <v>0</v>
      </c>
    </row>
    <row r="162" spans="1:9" x14ac:dyDescent="0.3">
      <c r="A162">
        <v>17</v>
      </c>
      <c r="B162">
        <v>11</v>
      </c>
      <c r="C162" s="4">
        <v>33.700000000000003</v>
      </c>
      <c r="D162" t="s">
        <v>11</v>
      </c>
      <c r="E162" t="s">
        <v>9</v>
      </c>
      <c r="F162">
        <v>2023</v>
      </c>
      <c r="G162" s="4">
        <v>33.700000000000003</v>
      </c>
      <c r="H162">
        <v>72.400000000000006</v>
      </c>
      <c r="I162">
        <f t="shared" si="2"/>
        <v>0</v>
      </c>
    </row>
    <row r="163" spans="1:9" x14ac:dyDescent="0.3">
      <c r="A163">
        <v>18</v>
      </c>
      <c r="B163">
        <v>11</v>
      </c>
      <c r="C163" s="4">
        <v>33.6</v>
      </c>
      <c r="D163" t="s">
        <v>11</v>
      </c>
      <c r="E163" t="s">
        <v>9</v>
      </c>
      <c r="F163">
        <v>2023</v>
      </c>
      <c r="G163" s="4">
        <v>33.6</v>
      </c>
      <c r="H163">
        <v>72.400000000000006</v>
      </c>
      <c r="I163">
        <f t="shared" si="2"/>
        <v>0</v>
      </c>
    </row>
    <row r="164" spans="1:9" x14ac:dyDescent="0.3">
      <c r="A164">
        <v>19</v>
      </c>
      <c r="B164">
        <v>11</v>
      </c>
      <c r="C164" s="4">
        <v>31.4</v>
      </c>
      <c r="D164" t="s">
        <v>11</v>
      </c>
      <c r="E164" t="s">
        <v>9</v>
      </c>
      <c r="F164">
        <v>2023</v>
      </c>
      <c r="G164" s="4">
        <v>31.4</v>
      </c>
      <c r="H164">
        <v>72.400000000000006</v>
      </c>
      <c r="I164">
        <f t="shared" si="2"/>
        <v>0</v>
      </c>
    </row>
    <row r="165" spans="1:9" x14ac:dyDescent="0.3">
      <c r="A165">
        <v>20</v>
      </c>
      <c r="B165">
        <v>11</v>
      </c>
      <c r="C165" s="4">
        <v>31.3</v>
      </c>
      <c r="D165" t="s">
        <v>11</v>
      </c>
      <c r="E165" t="s">
        <v>9</v>
      </c>
      <c r="F165">
        <v>2023</v>
      </c>
      <c r="G165" s="4">
        <v>31.3</v>
      </c>
      <c r="H165">
        <v>72.400000000000006</v>
      </c>
      <c r="I165">
        <f t="shared" si="2"/>
        <v>0</v>
      </c>
    </row>
    <row r="166" spans="1:9" x14ac:dyDescent="0.3">
      <c r="A166">
        <v>21</v>
      </c>
      <c r="B166">
        <v>11</v>
      </c>
      <c r="C166" s="4">
        <v>31.1</v>
      </c>
      <c r="D166" t="s">
        <v>11</v>
      </c>
      <c r="E166" t="s">
        <v>9</v>
      </c>
      <c r="F166">
        <v>2023</v>
      </c>
      <c r="G166" s="4">
        <v>31.1</v>
      </c>
      <c r="H166">
        <v>72.400000000000006</v>
      </c>
      <c r="I166">
        <f t="shared" si="2"/>
        <v>0</v>
      </c>
    </row>
    <row r="167" spans="1:9" x14ac:dyDescent="0.3">
      <c r="A167">
        <v>22</v>
      </c>
      <c r="B167">
        <v>11</v>
      </c>
      <c r="C167" s="4">
        <v>30.7</v>
      </c>
      <c r="D167" t="s">
        <v>11</v>
      </c>
      <c r="E167" t="s">
        <v>9</v>
      </c>
      <c r="F167">
        <v>2023</v>
      </c>
      <c r="G167" s="4">
        <v>30.7</v>
      </c>
      <c r="H167">
        <v>72.400000000000006</v>
      </c>
      <c r="I167">
        <f t="shared" si="2"/>
        <v>0</v>
      </c>
    </row>
    <row r="168" spans="1:9" x14ac:dyDescent="0.3">
      <c r="A168">
        <v>23</v>
      </c>
      <c r="B168">
        <v>11</v>
      </c>
      <c r="C168" s="4">
        <v>30.4</v>
      </c>
      <c r="D168" t="s">
        <v>11</v>
      </c>
      <c r="E168" t="s">
        <v>9</v>
      </c>
      <c r="F168">
        <v>2023</v>
      </c>
      <c r="G168" s="4">
        <v>30.4</v>
      </c>
      <c r="H168">
        <v>72.400000000000006</v>
      </c>
      <c r="I168">
        <f t="shared" si="2"/>
        <v>0</v>
      </c>
    </row>
    <row r="169" spans="1:9" x14ac:dyDescent="0.3">
      <c r="A169">
        <v>24</v>
      </c>
      <c r="B169">
        <v>11</v>
      </c>
      <c r="C169" s="4">
        <v>29.3</v>
      </c>
      <c r="D169" t="s">
        <v>11</v>
      </c>
      <c r="E169" t="s">
        <v>9</v>
      </c>
      <c r="F169">
        <v>2023</v>
      </c>
      <c r="G169" s="4">
        <v>29.3</v>
      </c>
      <c r="H169">
        <v>72.400000000000006</v>
      </c>
      <c r="I169">
        <f t="shared" si="2"/>
        <v>0</v>
      </c>
    </row>
    <row r="170" spans="1:9" x14ac:dyDescent="0.3">
      <c r="A170">
        <v>25</v>
      </c>
      <c r="B170">
        <v>11</v>
      </c>
      <c r="C170" s="4">
        <v>28.6</v>
      </c>
      <c r="D170" t="s">
        <v>11</v>
      </c>
      <c r="E170" t="s">
        <v>9</v>
      </c>
      <c r="F170">
        <v>2023</v>
      </c>
      <c r="G170" s="4">
        <v>28.6</v>
      </c>
      <c r="H170">
        <v>72.400000000000006</v>
      </c>
      <c r="I170">
        <f t="shared" si="2"/>
        <v>0</v>
      </c>
    </row>
    <row r="171" spans="1:9" x14ac:dyDescent="0.3">
      <c r="A171">
        <v>26</v>
      </c>
      <c r="B171">
        <v>11</v>
      </c>
      <c r="C171" s="4">
        <v>27.3</v>
      </c>
      <c r="D171" t="s">
        <v>11</v>
      </c>
      <c r="E171" t="s">
        <v>9</v>
      </c>
      <c r="F171">
        <v>2023</v>
      </c>
      <c r="G171" s="4">
        <v>27.3</v>
      </c>
      <c r="H171">
        <v>72.400000000000006</v>
      </c>
      <c r="I171">
        <f t="shared" si="2"/>
        <v>0</v>
      </c>
    </row>
    <row r="172" spans="1:9" x14ac:dyDescent="0.3">
      <c r="A172">
        <v>27</v>
      </c>
      <c r="B172">
        <v>11</v>
      </c>
      <c r="C172" s="4">
        <v>26.8</v>
      </c>
      <c r="D172" t="s">
        <v>11</v>
      </c>
      <c r="E172" t="s">
        <v>9</v>
      </c>
      <c r="F172">
        <v>2023</v>
      </c>
      <c r="G172" s="4">
        <v>26.8</v>
      </c>
      <c r="H172">
        <v>72.400000000000006</v>
      </c>
      <c r="I172">
        <f t="shared" si="2"/>
        <v>0</v>
      </c>
    </row>
    <row r="173" spans="1:9" x14ac:dyDescent="0.3">
      <c r="A173">
        <v>28</v>
      </c>
      <c r="B173">
        <v>11</v>
      </c>
      <c r="C173" s="4">
        <v>25.8</v>
      </c>
      <c r="D173" t="s">
        <v>11</v>
      </c>
      <c r="E173" t="s">
        <v>9</v>
      </c>
      <c r="F173">
        <v>2023</v>
      </c>
      <c r="G173" s="4">
        <v>25.8</v>
      </c>
      <c r="H173">
        <v>72.400000000000006</v>
      </c>
      <c r="I173">
        <f t="shared" si="2"/>
        <v>0</v>
      </c>
    </row>
    <row r="174" spans="1:9" x14ac:dyDescent="0.3">
      <c r="A174">
        <v>29</v>
      </c>
      <c r="B174">
        <v>11</v>
      </c>
      <c r="C174" s="4">
        <v>24.9</v>
      </c>
      <c r="D174" t="s">
        <v>11</v>
      </c>
      <c r="E174" t="s">
        <v>9</v>
      </c>
      <c r="F174">
        <v>2023</v>
      </c>
      <c r="G174" s="4">
        <v>24.9</v>
      </c>
      <c r="H174">
        <v>72.400000000000006</v>
      </c>
      <c r="I174">
        <f t="shared" si="2"/>
        <v>0</v>
      </c>
    </row>
    <row r="175" spans="1:9" x14ac:dyDescent="0.3">
      <c r="A175">
        <v>30</v>
      </c>
      <c r="B175">
        <v>11</v>
      </c>
      <c r="C175" s="4">
        <v>23.6</v>
      </c>
      <c r="D175" t="s">
        <v>11</v>
      </c>
      <c r="E175" t="s">
        <v>9</v>
      </c>
      <c r="F175">
        <v>2023</v>
      </c>
      <c r="G175" s="4">
        <v>23.6</v>
      </c>
      <c r="H175">
        <v>72.400000000000006</v>
      </c>
      <c r="I175">
        <f t="shared" si="2"/>
        <v>0</v>
      </c>
    </row>
    <row r="176" spans="1:9" x14ac:dyDescent="0.3">
      <c r="A176">
        <v>1</v>
      </c>
      <c r="B176">
        <v>9</v>
      </c>
      <c r="C176" s="4">
        <v>62.1</v>
      </c>
      <c r="D176" t="s">
        <v>8</v>
      </c>
      <c r="E176" t="s">
        <v>9</v>
      </c>
      <c r="F176">
        <v>2024</v>
      </c>
      <c r="G176" s="4">
        <v>62.1</v>
      </c>
      <c r="H176">
        <v>65.099999999999994</v>
      </c>
      <c r="I176">
        <f t="shared" si="2"/>
        <v>0</v>
      </c>
    </row>
    <row r="177" spans="1:9" x14ac:dyDescent="0.3">
      <c r="A177">
        <v>2</v>
      </c>
      <c r="B177">
        <v>9</v>
      </c>
      <c r="C177" s="4">
        <v>54.2</v>
      </c>
      <c r="D177" t="s">
        <v>8</v>
      </c>
      <c r="E177" t="s">
        <v>9</v>
      </c>
      <c r="F177">
        <v>2024</v>
      </c>
      <c r="G177" s="4">
        <v>54.2</v>
      </c>
      <c r="H177">
        <v>65.099999999999994</v>
      </c>
      <c r="I177">
        <f t="shared" si="2"/>
        <v>0</v>
      </c>
    </row>
    <row r="178" spans="1:9" x14ac:dyDescent="0.3">
      <c r="A178">
        <v>3</v>
      </c>
      <c r="B178">
        <v>9</v>
      </c>
      <c r="C178" s="4">
        <v>42.9</v>
      </c>
      <c r="D178" t="s">
        <v>12</v>
      </c>
      <c r="E178" t="s">
        <v>9</v>
      </c>
      <c r="F178">
        <v>2024</v>
      </c>
      <c r="G178" s="4">
        <v>42.9</v>
      </c>
      <c r="H178">
        <v>65.099999999999994</v>
      </c>
      <c r="I178">
        <f t="shared" si="2"/>
        <v>0</v>
      </c>
    </row>
    <row r="179" spans="1:9" x14ac:dyDescent="0.3">
      <c r="A179">
        <v>4</v>
      </c>
      <c r="B179">
        <v>9</v>
      </c>
      <c r="C179" s="4">
        <v>42.8</v>
      </c>
      <c r="D179" t="s">
        <v>12</v>
      </c>
      <c r="E179" t="s">
        <v>9</v>
      </c>
      <c r="F179">
        <v>2024</v>
      </c>
      <c r="G179" s="4">
        <v>42.8</v>
      </c>
      <c r="H179">
        <v>65.099999999999994</v>
      </c>
      <c r="I179">
        <f t="shared" si="2"/>
        <v>0</v>
      </c>
    </row>
    <row r="180" spans="1:9" x14ac:dyDescent="0.3">
      <c r="A180">
        <v>5</v>
      </c>
      <c r="B180">
        <v>9</v>
      </c>
      <c r="C180" s="4">
        <v>42</v>
      </c>
      <c r="D180" t="s">
        <v>12</v>
      </c>
      <c r="E180" t="s">
        <v>9</v>
      </c>
      <c r="F180">
        <v>2024</v>
      </c>
      <c r="G180" s="4">
        <v>42</v>
      </c>
      <c r="H180">
        <v>65.099999999999994</v>
      </c>
      <c r="I180">
        <f t="shared" si="2"/>
        <v>0</v>
      </c>
    </row>
    <row r="181" spans="1:9" x14ac:dyDescent="0.3">
      <c r="A181">
        <v>6</v>
      </c>
      <c r="B181">
        <v>9</v>
      </c>
      <c r="C181" s="4">
        <v>40.799999999999997</v>
      </c>
      <c r="D181" t="s">
        <v>12</v>
      </c>
      <c r="E181" t="s">
        <v>9</v>
      </c>
      <c r="F181">
        <v>2024</v>
      </c>
      <c r="G181" s="4">
        <v>40.799999999999997</v>
      </c>
      <c r="H181">
        <v>65.099999999999994</v>
      </c>
      <c r="I181">
        <f t="shared" si="2"/>
        <v>0</v>
      </c>
    </row>
    <row r="182" spans="1:9" x14ac:dyDescent="0.3">
      <c r="A182">
        <v>7</v>
      </c>
      <c r="B182">
        <v>9</v>
      </c>
      <c r="C182" s="4">
        <v>38</v>
      </c>
      <c r="D182" t="s">
        <v>12</v>
      </c>
      <c r="E182" t="s">
        <v>9</v>
      </c>
      <c r="F182">
        <v>2024</v>
      </c>
      <c r="G182" s="4">
        <v>38</v>
      </c>
      <c r="H182">
        <v>65.099999999999994</v>
      </c>
      <c r="I182">
        <f t="shared" si="2"/>
        <v>0</v>
      </c>
    </row>
    <row r="183" spans="1:9" x14ac:dyDescent="0.3">
      <c r="A183">
        <v>8</v>
      </c>
      <c r="B183">
        <v>9</v>
      </c>
      <c r="C183" s="4">
        <v>36.9</v>
      </c>
      <c r="D183" t="s">
        <v>12</v>
      </c>
      <c r="E183" t="s">
        <v>9</v>
      </c>
      <c r="F183">
        <v>2024</v>
      </c>
      <c r="G183" s="4">
        <v>36.9</v>
      </c>
      <c r="H183">
        <v>65.099999999999994</v>
      </c>
      <c r="I183">
        <f t="shared" si="2"/>
        <v>0</v>
      </c>
    </row>
    <row r="184" spans="1:9" x14ac:dyDescent="0.3">
      <c r="A184">
        <v>9</v>
      </c>
      <c r="B184">
        <v>9</v>
      </c>
      <c r="C184" s="4">
        <v>36.299999999999997</v>
      </c>
      <c r="D184" t="s">
        <v>12</v>
      </c>
      <c r="E184" t="s">
        <v>9</v>
      </c>
      <c r="F184">
        <v>2024</v>
      </c>
      <c r="G184" s="4">
        <v>36.299999999999997</v>
      </c>
      <c r="H184">
        <v>65.099999999999994</v>
      </c>
      <c r="I184">
        <f t="shared" si="2"/>
        <v>0</v>
      </c>
    </row>
    <row r="185" spans="1:9" x14ac:dyDescent="0.3">
      <c r="A185">
        <v>10</v>
      </c>
      <c r="B185">
        <v>9</v>
      </c>
      <c r="C185" s="4">
        <v>35.299999999999997</v>
      </c>
      <c r="D185" t="s">
        <v>12</v>
      </c>
      <c r="E185" t="s">
        <v>9</v>
      </c>
      <c r="F185">
        <v>2024</v>
      </c>
      <c r="G185" s="4">
        <v>35.299999999999997</v>
      </c>
      <c r="H185">
        <v>65.099999999999994</v>
      </c>
      <c r="I185">
        <f t="shared" si="2"/>
        <v>0</v>
      </c>
    </row>
    <row r="186" spans="1:9" x14ac:dyDescent="0.3">
      <c r="A186">
        <v>11</v>
      </c>
      <c r="B186">
        <v>9</v>
      </c>
      <c r="C186" s="4">
        <v>34.700000000000003</v>
      </c>
      <c r="D186" t="s">
        <v>11</v>
      </c>
      <c r="E186" t="s">
        <v>9</v>
      </c>
      <c r="F186">
        <v>2024</v>
      </c>
      <c r="G186" s="4">
        <v>34.700000000000003</v>
      </c>
      <c r="H186">
        <v>65.099999999999994</v>
      </c>
      <c r="I186">
        <f t="shared" si="2"/>
        <v>0</v>
      </c>
    </row>
    <row r="187" spans="1:9" x14ac:dyDescent="0.3">
      <c r="A187">
        <v>12</v>
      </c>
      <c r="B187">
        <v>9</v>
      </c>
      <c r="C187" s="4">
        <v>34.4</v>
      </c>
      <c r="D187" t="s">
        <v>11</v>
      </c>
      <c r="E187" t="s">
        <v>9</v>
      </c>
      <c r="F187">
        <v>2024</v>
      </c>
      <c r="G187" s="4">
        <v>34.4</v>
      </c>
      <c r="H187">
        <v>65.099999999999994</v>
      </c>
      <c r="I187">
        <f t="shared" si="2"/>
        <v>0</v>
      </c>
    </row>
    <row r="188" spans="1:9" x14ac:dyDescent="0.3">
      <c r="A188">
        <v>13</v>
      </c>
      <c r="B188">
        <v>9</v>
      </c>
      <c r="C188" s="4">
        <v>33.299999999999997</v>
      </c>
      <c r="D188" t="s">
        <v>11</v>
      </c>
      <c r="E188" t="s">
        <v>9</v>
      </c>
      <c r="F188">
        <v>2024</v>
      </c>
      <c r="G188" s="4">
        <v>33.299999999999997</v>
      </c>
      <c r="H188">
        <v>65.099999999999994</v>
      </c>
      <c r="I188">
        <f t="shared" si="2"/>
        <v>0</v>
      </c>
    </row>
    <row r="189" spans="1:9" x14ac:dyDescent="0.3">
      <c r="A189">
        <v>14</v>
      </c>
      <c r="B189">
        <v>9</v>
      </c>
      <c r="C189" s="4">
        <v>32.1</v>
      </c>
      <c r="D189" t="s">
        <v>11</v>
      </c>
      <c r="E189" t="s">
        <v>9</v>
      </c>
      <c r="F189">
        <v>2024</v>
      </c>
      <c r="G189" s="4">
        <v>32.1</v>
      </c>
      <c r="H189">
        <v>65.099999999999994</v>
      </c>
      <c r="I189">
        <f t="shared" si="2"/>
        <v>0</v>
      </c>
    </row>
    <row r="190" spans="1:9" x14ac:dyDescent="0.3">
      <c r="A190">
        <v>15</v>
      </c>
      <c r="B190">
        <v>9</v>
      </c>
      <c r="C190" s="4">
        <v>31.1</v>
      </c>
      <c r="D190" t="s">
        <v>11</v>
      </c>
      <c r="E190" t="s">
        <v>9</v>
      </c>
      <c r="F190">
        <v>2024</v>
      </c>
      <c r="G190" s="4">
        <v>31.1</v>
      </c>
      <c r="H190">
        <v>65.099999999999994</v>
      </c>
      <c r="I190">
        <f t="shared" si="2"/>
        <v>0</v>
      </c>
    </row>
    <row r="191" spans="1:9" x14ac:dyDescent="0.3">
      <c r="A191">
        <v>16</v>
      </c>
      <c r="B191">
        <v>9</v>
      </c>
      <c r="C191" s="4">
        <v>30.4</v>
      </c>
      <c r="D191" t="s">
        <v>11</v>
      </c>
      <c r="E191" t="s">
        <v>9</v>
      </c>
      <c r="F191">
        <v>2024</v>
      </c>
      <c r="G191" s="4">
        <v>30.4</v>
      </c>
      <c r="H191">
        <v>65.099999999999994</v>
      </c>
      <c r="I191">
        <f t="shared" si="2"/>
        <v>0</v>
      </c>
    </row>
    <row r="192" spans="1:9" x14ac:dyDescent="0.3">
      <c r="A192">
        <v>17</v>
      </c>
      <c r="B192">
        <v>9</v>
      </c>
      <c r="C192" s="4">
        <v>28.2</v>
      </c>
      <c r="D192" t="s">
        <v>11</v>
      </c>
      <c r="E192" t="s">
        <v>9</v>
      </c>
      <c r="F192">
        <v>2024</v>
      </c>
      <c r="G192" s="4">
        <v>28.2</v>
      </c>
      <c r="H192">
        <v>65.099999999999994</v>
      </c>
      <c r="I192">
        <f t="shared" si="2"/>
        <v>0</v>
      </c>
    </row>
    <row r="193" spans="1:9" x14ac:dyDescent="0.3">
      <c r="A193">
        <v>18</v>
      </c>
      <c r="B193">
        <v>9</v>
      </c>
      <c r="C193" s="4">
        <v>27.9</v>
      </c>
      <c r="D193" t="s">
        <v>11</v>
      </c>
      <c r="E193" t="s">
        <v>9</v>
      </c>
      <c r="F193">
        <v>2024</v>
      </c>
      <c r="G193" s="4">
        <v>27.9</v>
      </c>
      <c r="H193">
        <v>65.099999999999994</v>
      </c>
      <c r="I193">
        <f t="shared" si="2"/>
        <v>0</v>
      </c>
    </row>
    <row r="194" spans="1:9" x14ac:dyDescent="0.3">
      <c r="A194">
        <v>19</v>
      </c>
      <c r="B194">
        <v>9</v>
      </c>
      <c r="C194" s="4">
        <v>27.8</v>
      </c>
      <c r="D194" t="s">
        <v>11</v>
      </c>
      <c r="E194" t="s">
        <v>9</v>
      </c>
      <c r="F194">
        <v>2024</v>
      </c>
      <c r="G194" s="4">
        <v>27.8</v>
      </c>
      <c r="H194">
        <v>65.099999999999994</v>
      </c>
      <c r="I194">
        <f t="shared" si="2"/>
        <v>0</v>
      </c>
    </row>
    <row r="195" spans="1:9" x14ac:dyDescent="0.3">
      <c r="A195">
        <v>20</v>
      </c>
      <c r="B195">
        <v>9</v>
      </c>
      <c r="C195" s="4">
        <v>26.2</v>
      </c>
      <c r="D195" t="s">
        <v>11</v>
      </c>
      <c r="E195" t="s">
        <v>9</v>
      </c>
      <c r="F195">
        <v>2024</v>
      </c>
      <c r="G195" s="4">
        <v>26.2</v>
      </c>
      <c r="H195">
        <v>65.099999999999994</v>
      </c>
      <c r="I195">
        <f t="shared" ref="I195:I258" si="3">IF(C195&gt;=H195,1,0)</f>
        <v>0</v>
      </c>
    </row>
    <row r="196" spans="1:9" x14ac:dyDescent="0.3">
      <c r="A196">
        <v>21</v>
      </c>
      <c r="B196">
        <v>9</v>
      </c>
      <c r="C196" s="4">
        <v>25.6</v>
      </c>
      <c r="D196" t="s">
        <v>11</v>
      </c>
      <c r="E196" t="s">
        <v>9</v>
      </c>
      <c r="F196">
        <v>2024</v>
      </c>
      <c r="G196" s="4">
        <v>25.6</v>
      </c>
      <c r="H196">
        <v>65.099999999999994</v>
      </c>
      <c r="I196">
        <f t="shared" si="3"/>
        <v>0</v>
      </c>
    </row>
    <row r="197" spans="1:9" x14ac:dyDescent="0.3">
      <c r="A197">
        <v>22</v>
      </c>
      <c r="B197">
        <v>9</v>
      </c>
      <c r="C197" s="4">
        <v>25.5</v>
      </c>
      <c r="D197" t="s">
        <v>11</v>
      </c>
      <c r="E197" t="s">
        <v>9</v>
      </c>
      <c r="F197">
        <v>2024</v>
      </c>
      <c r="G197" s="4">
        <v>25.5</v>
      </c>
      <c r="H197">
        <v>65.099999999999994</v>
      </c>
      <c r="I197">
        <f t="shared" si="3"/>
        <v>0</v>
      </c>
    </row>
    <row r="198" spans="1:9" x14ac:dyDescent="0.3">
      <c r="A198">
        <v>23</v>
      </c>
      <c r="B198">
        <v>9</v>
      </c>
      <c r="C198" s="4">
        <v>24.8</v>
      </c>
      <c r="D198" t="s">
        <v>11</v>
      </c>
      <c r="E198" t="s">
        <v>9</v>
      </c>
      <c r="F198">
        <v>2024</v>
      </c>
      <c r="G198" s="4">
        <v>24.8</v>
      </c>
      <c r="H198">
        <v>65.099999999999994</v>
      </c>
      <c r="I198">
        <f t="shared" si="3"/>
        <v>0</v>
      </c>
    </row>
    <row r="199" spans="1:9" x14ac:dyDescent="0.3">
      <c r="A199">
        <v>24</v>
      </c>
      <c r="B199">
        <v>9</v>
      </c>
      <c r="C199" s="4">
        <v>24.8</v>
      </c>
      <c r="D199" t="s">
        <v>11</v>
      </c>
      <c r="E199" t="s">
        <v>9</v>
      </c>
      <c r="F199">
        <v>2024</v>
      </c>
      <c r="G199" s="4">
        <v>24.8</v>
      </c>
      <c r="H199">
        <v>65.099999999999994</v>
      </c>
      <c r="I199">
        <f t="shared" si="3"/>
        <v>0</v>
      </c>
    </row>
    <row r="200" spans="1:9" x14ac:dyDescent="0.3">
      <c r="A200">
        <v>25</v>
      </c>
      <c r="B200">
        <v>9</v>
      </c>
      <c r="C200" s="4">
        <v>24.6</v>
      </c>
      <c r="D200" t="s">
        <v>11</v>
      </c>
      <c r="E200" t="s">
        <v>9</v>
      </c>
      <c r="F200">
        <v>2024</v>
      </c>
      <c r="G200" s="4">
        <v>24.6</v>
      </c>
      <c r="H200">
        <v>65.099999999999994</v>
      </c>
      <c r="I200">
        <f t="shared" si="3"/>
        <v>0</v>
      </c>
    </row>
    <row r="201" spans="1:9" x14ac:dyDescent="0.3">
      <c r="A201">
        <v>26</v>
      </c>
      <c r="B201">
        <v>9</v>
      </c>
      <c r="C201" s="4">
        <v>23.4</v>
      </c>
      <c r="D201" t="s">
        <v>11</v>
      </c>
      <c r="E201" t="s">
        <v>9</v>
      </c>
      <c r="F201">
        <v>2024</v>
      </c>
      <c r="G201" s="4">
        <v>23.4</v>
      </c>
      <c r="H201">
        <v>65.099999999999994</v>
      </c>
      <c r="I201">
        <f t="shared" si="3"/>
        <v>0</v>
      </c>
    </row>
    <row r="202" spans="1:9" x14ac:dyDescent="0.3">
      <c r="A202">
        <v>27</v>
      </c>
      <c r="B202">
        <v>9</v>
      </c>
      <c r="C202" s="4">
        <v>20.6</v>
      </c>
      <c r="D202" t="s">
        <v>11</v>
      </c>
      <c r="E202" t="s">
        <v>9</v>
      </c>
      <c r="F202">
        <v>2024</v>
      </c>
      <c r="G202" s="4">
        <v>20.6</v>
      </c>
      <c r="H202">
        <v>65.099999999999994</v>
      </c>
      <c r="I202">
        <f t="shared" si="3"/>
        <v>0</v>
      </c>
    </row>
    <row r="203" spans="1:9" x14ac:dyDescent="0.3">
      <c r="A203">
        <v>28</v>
      </c>
      <c r="B203">
        <v>9</v>
      </c>
      <c r="C203" s="4">
        <v>20.399999999999999</v>
      </c>
      <c r="D203" t="s">
        <v>11</v>
      </c>
      <c r="E203" t="s">
        <v>9</v>
      </c>
      <c r="F203">
        <v>2024</v>
      </c>
      <c r="G203" s="4">
        <v>20.399999999999999</v>
      </c>
      <c r="H203">
        <v>65.099999999999994</v>
      </c>
      <c r="I203">
        <f t="shared" si="3"/>
        <v>0</v>
      </c>
    </row>
    <row r="204" spans="1:9" x14ac:dyDescent="0.3">
      <c r="A204">
        <v>29</v>
      </c>
      <c r="B204">
        <v>9</v>
      </c>
      <c r="C204" s="4">
        <v>20</v>
      </c>
      <c r="D204" t="s">
        <v>11</v>
      </c>
      <c r="E204" t="s">
        <v>9</v>
      </c>
      <c r="F204">
        <v>2024</v>
      </c>
      <c r="G204" s="4">
        <v>20</v>
      </c>
      <c r="H204">
        <v>65.099999999999994</v>
      </c>
      <c r="I204">
        <f t="shared" si="3"/>
        <v>0</v>
      </c>
    </row>
    <row r="205" spans="1:9" x14ac:dyDescent="0.3">
      <c r="A205">
        <v>30</v>
      </c>
      <c r="B205">
        <v>9</v>
      </c>
      <c r="C205" s="4">
        <v>16.8</v>
      </c>
      <c r="D205" t="s">
        <v>11</v>
      </c>
      <c r="E205" t="s">
        <v>9</v>
      </c>
      <c r="F205">
        <v>2024</v>
      </c>
      <c r="G205" s="4">
        <v>16.8</v>
      </c>
      <c r="H205">
        <v>65.099999999999994</v>
      </c>
      <c r="I205">
        <f t="shared" si="3"/>
        <v>0</v>
      </c>
    </row>
    <row r="206" spans="1:9" x14ac:dyDescent="0.3">
      <c r="A206">
        <v>1</v>
      </c>
      <c r="B206">
        <v>10</v>
      </c>
      <c r="C206" s="4">
        <v>55.1</v>
      </c>
      <c r="D206" t="s">
        <v>8</v>
      </c>
      <c r="E206" t="s">
        <v>9</v>
      </c>
      <c r="F206">
        <v>2024</v>
      </c>
      <c r="G206" s="4">
        <v>55.1</v>
      </c>
      <c r="H206">
        <v>66.099999999999994</v>
      </c>
      <c r="I206">
        <f t="shared" si="3"/>
        <v>0</v>
      </c>
    </row>
    <row r="207" spans="1:9" x14ac:dyDescent="0.3">
      <c r="A207">
        <v>2</v>
      </c>
      <c r="B207">
        <v>10</v>
      </c>
      <c r="C207" s="4">
        <v>51.5</v>
      </c>
      <c r="D207" t="s">
        <v>8</v>
      </c>
      <c r="E207" t="s">
        <v>9</v>
      </c>
      <c r="F207">
        <v>2024</v>
      </c>
      <c r="G207" s="4">
        <v>51.5</v>
      </c>
      <c r="H207">
        <v>66.099999999999994</v>
      </c>
      <c r="I207">
        <f t="shared" si="3"/>
        <v>0</v>
      </c>
    </row>
    <row r="208" spans="1:9" x14ac:dyDescent="0.3">
      <c r="A208">
        <v>3</v>
      </c>
      <c r="B208">
        <v>10</v>
      </c>
      <c r="C208" s="4">
        <v>49.1</v>
      </c>
      <c r="D208" t="s">
        <v>8</v>
      </c>
      <c r="E208" t="s">
        <v>9</v>
      </c>
      <c r="F208">
        <v>2024</v>
      </c>
      <c r="G208" s="4">
        <v>49.1</v>
      </c>
      <c r="H208">
        <v>66.099999999999994</v>
      </c>
      <c r="I208">
        <f t="shared" si="3"/>
        <v>0</v>
      </c>
    </row>
    <row r="209" spans="1:9" x14ac:dyDescent="0.3">
      <c r="A209">
        <v>4</v>
      </c>
      <c r="B209">
        <v>10</v>
      </c>
      <c r="C209" s="4">
        <v>47.9</v>
      </c>
      <c r="D209" t="s">
        <v>12</v>
      </c>
      <c r="E209" t="s">
        <v>9</v>
      </c>
      <c r="F209">
        <v>2024</v>
      </c>
      <c r="G209" s="4">
        <v>47.9</v>
      </c>
      <c r="H209">
        <v>66.099999999999994</v>
      </c>
      <c r="I209">
        <f t="shared" si="3"/>
        <v>0</v>
      </c>
    </row>
    <row r="210" spans="1:9" x14ac:dyDescent="0.3">
      <c r="A210">
        <v>5</v>
      </c>
      <c r="B210">
        <v>10</v>
      </c>
      <c r="C210" s="4">
        <v>47.6</v>
      </c>
      <c r="D210" t="s">
        <v>12</v>
      </c>
      <c r="E210" t="s">
        <v>9</v>
      </c>
      <c r="F210">
        <v>2024</v>
      </c>
      <c r="G210" s="4">
        <v>47.6</v>
      </c>
      <c r="H210">
        <v>66.099999999999994</v>
      </c>
      <c r="I210">
        <f t="shared" si="3"/>
        <v>0</v>
      </c>
    </row>
    <row r="211" spans="1:9" x14ac:dyDescent="0.3">
      <c r="A211">
        <v>6</v>
      </c>
      <c r="B211">
        <v>10</v>
      </c>
      <c r="C211" s="4">
        <v>46.2</v>
      </c>
      <c r="D211" t="s">
        <v>12</v>
      </c>
      <c r="E211" t="s">
        <v>9</v>
      </c>
      <c r="F211">
        <v>2024</v>
      </c>
      <c r="G211" s="4">
        <v>46.2</v>
      </c>
      <c r="H211">
        <v>66.099999999999994</v>
      </c>
      <c r="I211">
        <f t="shared" si="3"/>
        <v>0</v>
      </c>
    </row>
    <row r="212" spans="1:9" x14ac:dyDescent="0.3">
      <c r="A212">
        <v>7</v>
      </c>
      <c r="B212">
        <v>10</v>
      </c>
      <c r="C212" s="4">
        <v>45.8</v>
      </c>
      <c r="D212" t="s">
        <v>12</v>
      </c>
      <c r="E212" t="s">
        <v>9</v>
      </c>
      <c r="F212">
        <v>2024</v>
      </c>
      <c r="G212" s="4">
        <v>45.8</v>
      </c>
      <c r="H212">
        <v>66.099999999999994</v>
      </c>
      <c r="I212">
        <f t="shared" si="3"/>
        <v>0</v>
      </c>
    </row>
    <row r="213" spans="1:9" x14ac:dyDescent="0.3">
      <c r="A213">
        <v>8</v>
      </c>
      <c r="B213">
        <v>10</v>
      </c>
      <c r="C213" s="4">
        <v>45.1</v>
      </c>
      <c r="D213" t="s">
        <v>12</v>
      </c>
      <c r="E213" t="s">
        <v>9</v>
      </c>
      <c r="F213">
        <v>2024</v>
      </c>
      <c r="G213" s="4">
        <v>45.1</v>
      </c>
      <c r="H213">
        <v>66.099999999999994</v>
      </c>
      <c r="I213">
        <f t="shared" si="3"/>
        <v>0</v>
      </c>
    </row>
    <row r="214" spans="1:9" x14ac:dyDescent="0.3">
      <c r="A214">
        <v>9</v>
      </c>
      <c r="B214">
        <v>10</v>
      </c>
      <c r="C214" s="4">
        <v>44.9</v>
      </c>
      <c r="D214" t="s">
        <v>12</v>
      </c>
      <c r="E214" t="s">
        <v>9</v>
      </c>
      <c r="F214">
        <v>2024</v>
      </c>
      <c r="G214" s="4">
        <v>44.9</v>
      </c>
      <c r="H214">
        <v>66.099999999999994</v>
      </c>
      <c r="I214">
        <f t="shared" si="3"/>
        <v>0</v>
      </c>
    </row>
    <row r="215" spans="1:9" x14ac:dyDescent="0.3">
      <c r="A215">
        <v>10</v>
      </c>
      <c r="B215">
        <v>10</v>
      </c>
      <c r="C215" s="4">
        <v>44.4</v>
      </c>
      <c r="D215" t="s">
        <v>12</v>
      </c>
      <c r="E215" t="s">
        <v>9</v>
      </c>
      <c r="F215">
        <v>2024</v>
      </c>
      <c r="G215" s="4">
        <v>44.4</v>
      </c>
      <c r="H215">
        <v>66.099999999999994</v>
      </c>
      <c r="I215">
        <f t="shared" si="3"/>
        <v>0</v>
      </c>
    </row>
    <row r="216" spans="1:9" x14ac:dyDescent="0.3">
      <c r="A216">
        <v>11</v>
      </c>
      <c r="B216">
        <v>10</v>
      </c>
      <c r="C216" s="4">
        <v>43.8</v>
      </c>
      <c r="D216" t="s">
        <v>12</v>
      </c>
      <c r="E216" t="s">
        <v>9</v>
      </c>
      <c r="F216">
        <v>2024</v>
      </c>
      <c r="G216" s="4">
        <v>43.8</v>
      </c>
      <c r="H216">
        <v>66.099999999999994</v>
      </c>
      <c r="I216">
        <f t="shared" si="3"/>
        <v>0</v>
      </c>
    </row>
    <row r="217" spans="1:9" x14ac:dyDescent="0.3">
      <c r="A217">
        <v>12</v>
      </c>
      <c r="B217">
        <v>10</v>
      </c>
      <c r="C217" s="4">
        <v>43.7</v>
      </c>
      <c r="D217" t="s">
        <v>12</v>
      </c>
      <c r="E217" t="s">
        <v>9</v>
      </c>
      <c r="F217">
        <v>2024</v>
      </c>
      <c r="G217" s="4">
        <v>43.7</v>
      </c>
      <c r="H217">
        <v>66.099999999999994</v>
      </c>
      <c r="I217">
        <f t="shared" si="3"/>
        <v>0</v>
      </c>
    </row>
    <row r="218" spans="1:9" x14ac:dyDescent="0.3">
      <c r="A218">
        <v>13</v>
      </c>
      <c r="B218">
        <v>10</v>
      </c>
      <c r="C218" s="4">
        <v>43.6</v>
      </c>
      <c r="D218" t="s">
        <v>12</v>
      </c>
      <c r="E218" t="s">
        <v>9</v>
      </c>
      <c r="F218">
        <v>2024</v>
      </c>
      <c r="G218" s="4">
        <v>43.6</v>
      </c>
      <c r="H218">
        <v>66.099999999999994</v>
      </c>
      <c r="I218">
        <f t="shared" si="3"/>
        <v>0</v>
      </c>
    </row>
    <row r="219" spans="1:9" x14ac:dyDescent="0.3">
      <c r="A219">
        <v>14</v>
      </c>
      <c r="B219">
        <v>10</v>
      </c>
      <c r="C219" s="4">
        <v>38.4</v>
      </c>
      <c r="D219" t="s">
        <v>11</v>
      </c>
      <c r="E219" t="s">
        <v>9</v>
      </c>
      <c r="F219">
        <v>2024</v>
      </c>
      <c r="G219" s="4">
        <v>38.4</v>
      </c>
      <c r="H219">
        <v>66.099999999999994</v>
      </c>
      <c r="I219">
        <f t="shared" si="3"/>
        <v>0</v>
      </c>
    </row>
    <row r="220" spans="1:9" x14ac:dyDescent="0.3">
      <c r="A220">
        <v>15</v>
      </c>
      <c r="B220">
        <v>10</v>
      </c>
      <c r="C220" s="4">
        <v>38.1</v>
      </c>
      <c r="D220" t="s">
        <v>11</v>
      </c>
      <c r="E220" t="s">
        <v>9</v>
      </c>
      <c r="F220">
        <v>2024</v>
      </c>
      <c r="G220" s="4">
        <v>38.1</v>
      </c>
      <c r="H220">
        <v>66.099999999999994</v>
      </c>
      <c r="I220">
        <f t="shared" si="3"/>
        <v>0</v>
      </c>
    </row>
    <row r="221" spans="1:9" x14ac:dyDescent="0.3">
      <c r="A221">
        <v>16</v>
      </c>
      <c r="B221">
        <v>10</v>
      </c>
      <c r="C221" s="4">
        <v>37.9</v>
      </c>
      <c r="D221" t="s">
        <v>11</v>
      </c>
      <c r="E221" t="s">
        <v>9</v>
      </c>
      <c r="F221">
        <v>2024</v>
      </c>
      <c r="G221" s="4">
        <v>37.9</v>
      </c>
      <c r="H221">
        <v>66.099999999999994</v>
      </c>
      <c r="I221">
        <f t="shared" si="3"/>
        <v>0</v>
      </c>
    </row>
    <row r="222" spans="1:9" x14ac:dyDescent="0.3">
      <c r="A222">
        <v>17</v>
      </c>
      <c r="B222">
        <v>10</v>
      </c>
      <c r="C222" s="4">
        <v>37.9</v>
      </c>
      <c r="D222" t="s">
        <v>11</v>
      </c>
      <c r="E222" t="s">
        <v>9</v>
      </c>
      <c r="F222">
        <v>2024</v>
      </c>
      <c r="G222" s="4">
        <v>37.9</v>
      </c>
      <c r="H222">
        <v>66.099999999999994</v>
      </c>
      <c r="I222">
        <f t="shared" si="3"/>
        <v>0</v>
      </c>
    </row>
    <row r="223" spans="1:9" x14ac:dyDescent="0.3">
      <c r="A223">
        <v>18</v>
      </c>
      <c r="B223">
        <v>10</v>
      </c>
      <c r="C223" s="4">
        <v>35.799999999999997</v>
      </c>
      <c r="D223" t="s">
        <v>11</v>
      </c>
      <c r="E223" t="s">
        <v>9</v>
      </c>
      <c r="F223">
        <v>2024</v>
      </c>
      <c r="G223" s="4">
        <v>35.799999999999997</v>
      </c>
      <c r="H223">
        <v>66.099999999999994</v>
      </c>
      <c r="I223">
        <f t="shared" si="3"/>
        <v>0</v>
      </c>
    </row>
    <row r="224" spans="1:9" x14ac:dyDescent="0.3">
      <c r="A224">
        <v>19</v>
      </c>
      <c r="B224">
        <v>10</v>
      </c>
      <c r="C224" s="4">
        <v>34.799999999999997</v>
      </c>
      <c r="D224" t="s">
        <v>11</v>
      </c>
      <c r="E224" t="s">
        <v>9</v>
      </c>
      <c r="F224">
        <v>2024</v>
      </c>
      <c r="G224" s="4">
        <v>34.799999999999997</v>
      </c>
      <c r="H224">
        <v>66.099999999999994</v>
      </c>
      <c r="I224">
        <f t="shared" si="3"/>
        <v>0</v>
      </c>
    </row>
    <row r="225" spans="1:9" x14ac:dyDescent="0.3">
      <c r="A225">
        <v>20</v>
      </c>
      <c r="B225">
        <v>10</v>
      </c>
      <c r="C225" s="4">
        <v>34.700000000000003</v>
      </c>
      <c r="D225" t="s">
        <v>11</v>
      </c>
      <c r="E225" t="s">
        <v>9</v>
      </c>
      <c r="F225">
        <v>2024</v>
      </c>
      <c r="G225" s="4">
        <v>34.700000000000003</v>
      </c>
      <c r="H225">
        <v>66.099999999999994</v>
      </c>
      <c r="I225">
        <f t="shared" si="3"/>
        <v>0</v>
      </c>
    </row>
    <row r="226" spans="1:9" x14ac:dyDescent="0.3">
      <c r="A226">
        <v>21</v>
      </c>
      <c r="B226">
        <v>10</v>
      </c>
      <c r="C226" s="4">
        <v>33.9</v>
      </c>
      <c r="D226" t="s">
        <v>11</v>
      </c>
      <c r="E226" t="s">
        <v>9</v>
      </c>
      <c r="F226">
        <v>2024</v>
      </c>
      <c r="G226" s="4">
        <v>33.9</v>
      </c>
      <c r="H226">
        <v>66.099999999999994</v>
      </c>
      <c r="I226">
        <f t="shared" si="3"/>
        <v>0</v>
      </c>
    </row>
    <row r="227" spans="1:9" x14ac:dyDescent="0.3">
      <c r="A227">
        <v>22</v>
      </c>
      <c r="B227">
        <v>10</v>
      </c>
      <c r="C227" s="4">
        <v>33.200000000000003</v>
      </c>
      <c r="D227" t="s">
        <v>11</v>
      </c>
      <c r="E227" t="s">
        <v>9</v>
      </c>
      <c r="F227">
        <v>2024</v>
      </c>
      <c r="G227" s="4">
        <v>33.200000000000003</v>
      </c>
      <c r="H227">
        <v>66.099999999999994</v>
      </c>
      <c r="I227">
        <f t="shared" si="3"/>
        <v>0</v>
      </c>
    </row>
    <row r="228" spans="1:9" x14ac:dyDescent="0.3">
      <c r="A228">
        <v>23</v>
      </c>
      <c r="B228">
        <v>10</v>
      </c>
      <c r="C228" s="4">
        <v>33.1</v>
      </c>
      <c r="D228" t="s">
        <v>11</v>
      </c>
      <c r="E228" t="s">
        <v>9</v>
      </c>
      <c r="F228">
        <v>2024</v>
      </c>
      <c r="G228" s="4">
        <v>33.1</v>
      </c>
      <c r="H228">
        <v>66.099999999999994</v>
      </c>
      <c r="I228">
        <f t="shared" si="3"/>
        <v>0</v>
      </c>
    </row>
    <row r="229" spans="1:9" x14ac:dyDescent="0.3">
      <c r="A229">
        <v>24</v>
      </c>
      <c r="B229">
        <v>10</v>
      </c>
      <c r="C229" s="4">
        <v>32</v>
      </c>
      <c r="D229" t="s">
        <v>11</v>
      </c>
      <c r="E229" t="s">
        <v>9</v>
      </c>
      <c r="F229">
        <v>2024</v>
      </c>
      <c r="G229" s="4">
        <v>32</v>
      </c>
      <c r="H229">
        <v>66.099999999999994</v>
      </c>
      <c r="I229">
        <f t="shared" si="3"/>
        <v>0</v>
      </c>
    </row>
    <row r="230" spans="1:9" x14ac:dyDescent="0.3">
      <c r="A230">
        <v>25</v>
      </c>
      <c r="B230">
        <v>10</v>
      </c>
      <c r="C230" s="4">
        <v>32</v>
      </c>
      <c r="D230" t="s">
        <v>11</v>
      </c>
      <c r="E230" t="s">
        <v>9</v>
      </c>
      <c r="F230">
        <v>2024</v>
      </c>
      <c r="G230" s="4">
        <v>32</v>
      </c>
      <c r="H230">
        <v>66.099999999999994</v>
      </c>
      <c r="I230">
        <f t="shared" si="3"/>
        <v>0</v>
      </c>
    </row>
    <row r="231" spans="1:9" x14ac:dyDescent="0.3">
      <c r="A231">
        <v>26</v>
      </c>
      <c r="B231">
        <v>10</v>
      </c>
      <c r="C231" s="4">
        <v>31.7</v>
      </c>
      <c r="D231" t="s">
        <v>11</v>
      </c>
      <c r="E231" t="s">
        <v>9</v>
      </c>
      <c r="F231">
        <v>2024</v>
      </c>
      <c r="G231" s="4">
        <v>31.7</v>
      </c>
      <c r="H231">
        <v>66.099999999999994</v>
      </c>
      <c r="I231">
        <f t="shared" si="3"/>
        <v>0</v>
      </c>
    </row>
    <row r="232" spans="1:9" x14ac:dyDescent="0.3">
      <c r="A232">
        <v>27</v>
      </c>
      <c r="B232">
        <v>10</v>
      </c>
      <c r="C232" s="4">
        <v>31.6</v>
      </c>
      <c r="D232" t="s">
        <v>11</v>
      </c>
      <c r="E232" t="s">
        <v>9</v>
      </c>
      <c r="F232">
        <v>2024</v>
      </c>
      <c r="G232" s="4">
        <v>31.6</v>
      </c>
      <c r="H232">
        <v>66.099999999999994</v>
      </c>
      <c r="I232">
        <f t="shared" si="3"/>
        <v>0</v>
      </c>
    </row>
    <row r="233" spans="1:9" x14ac:dyDescent="0.3">
      <c r="A233">
        <v>28</v>
      </c>
      <c r="B233">
        <v>10</v>
      </c>
      <c r="C233" s="4">
        <v>31.6</v>
      </c>
      <c r="D233" t="s">
        <v>11</v>
      </c>
      <c r="E233" t="s">
        <v>9</v>
      </c>
      <c r="F233">
        <v>2024</v>
      </c>
      <c r="G233" s="4">
        <v>31.6</v>
      </c>
      <c r="H233">
        <v>66.099999999999994</v>
      </c>
      <c r="I233">
        <f t="shared" si="3"/>
        <v>0</v>
      </c>
    </row>
    <row r="234" spans="1:9" x14ac:dyDescent="0.3">
      <c r="A234">
        <v>29</v>
      </c>
      <c r="B234">
        <v>10</v>
      </c>
      <c r="C234" s="4">
        <v>28.9</v>
      </c>
      <c r="D234" t="s">
        <v>11</v>
      </c>
      <c r="E234" t="s">
        <v>9</v>
      </c>
      <c r="F234">
        <v>2024</v>
      </c>
      <c r="G234" s="4">
        <v>28.9</v>
      </c>
      <c r="H234">
        <v>66.099999999999994</v>
      </c>
      <c r="I234">
        <f t="shared" si="3"/>
        <v>0</v>
      </c>
    </row>
    <row r="235" spans="1:9" x14ac:dyDescent="0.3">
      <c r="A235">
        <v>30</v>
      </c>
      <c r="B235">
        <v>10</v>
      </c>
      <c r="C235" s="4">
        <v>27.8</v>
      </c>
      <c r="D235" t="s">
        <v>11</v>
      </c>
      <c r="E235" t="s">
        <v>9</v>
      </c>
      <c r="F235">
        <v>2024</v>
      </c>
      <c r="G235" s="4">
        <v>27.8</v>
      </c>
      <c r="H235">
        <v>66.099999999999994</v>
      </c>
      <c r="I235">
        <f t="shared" si="3"/>
        <v>0</v>
      </c>
    </row>
    <row r="236" spans="1:9" x14ac:dyDescent="0.3">
      <c r="A236">
        <v>31</v>
      </c>
      <c r="B236">
        <v>10</v>
      </c>
      <c r="C236" s="4">
        <v>26.5</v>
      </c>
      <c r="D236" t="s">
        <v>11</v>
      </c>
      <c r="E236" t="s">
        <v>9</v>
      </c>
      <c r="F236">
        <v>2024</v>
      </c>
      <c r="G236" s="4">
        <v>26.5</v>
      </c>
      <c r="H236">
        <v>66.099999999999994</v>
      </c>
      <c r="I236">
        <f t="shared" si="3"/>
        <v>0</v>
      </c>
    </row>
    <row r="237" spans="1:9" x14ac:dyDescent="0.3">
      <c r="A237">
        <v>32</v>
      </c>
      <c r="B237">
        <v>10</v>
      </c>
      <c r="C237" s="4">
        <v>26.5</v>
      </c>
      <c r="D237" t="s">
        <v>11</v>
      </c>
      <c r="E237" t="s">
        <v>9</v>
      </c>
      <c r="F237">
        <v>2024</v>
      </c>
      <c r="G237" s="4">
        <v>26.5</v>
      </c>
      <c r="H237">
        <v>66.099999999999994</v>
      </c>
      <c r="I237">
        <f t="shared" si="3"/>
        <v>0</v>
      </c>
    </row>
    <row r="238" spans="1:9" x14ac:dyDescent="0.3">
      <c r="A238">
        <v>33</v>
      </c>
      <c r="B238">
        <v>10</v>
      </c>
      <c r="C238" s="4">
        <v>26.3</v>
      </c>
      <c r="D238" t="s">
        <v>11</v>
      </c>
      <c r="E238" t="s">
        <v>9</v>
      </c>
      <c r="F238">
        <v>2024</v>
      </c>
      <c r="G238" s="4">
        <v>26.3</v>
      </c>
      <c r="H238">
        <v>66.099999999999994</v>
      </c>
      <c r="I238">
        <f t="shared" si="3"/>
        <v>0</v>
      </c>
    </row>
    <row r="239" spans="1:9" x14ac:dyDescent="0.3">
      <c r="A239">
        <v>34</v>
      </c>
      <c r="B239">
        <v>10</v>
      </c>
      <c r="C239" s="4">
        <v>26.2</v>
      </c>
      <c r="D239" t="s">
        <v>11</v>
      </c>
      <c r="E239" t="s">
        <v>9</v>
      </c>
      <c r="F239">
        <v>2024</v>
      </c>
      <c r="G239" s="4">
        <v>26.2</v>
      </c>
      <c r="H239">
        <v>66.099999999999994</v>
      </c>
      <c r="I239">
        <f t="shared" si="3"/>
        <v>0</v>
      </c>
    </row>
    <row r="240" spans="1:9" x14ac:dyDescent="0.3">
      <c r="A240">
        <v>35</v>
      </c>
      <c r="B240">
        <v>10</v>
      </c>
      <c r="C240" s="4">
        <v>23.2</v>
      </c>
      <c r="D240" t="s">
        <v>11</v>
      </c>
      <c r="E240" t="s">
        <v>9</v>
      </c>
      <c r="F240">
        <v>2024</v>
      </c>
      <c r="G240" s="4">
        <v>23.2</v>
      </c>
      <c r="H240">
        <v>66.099999999999994</v>
      </c>
      <c r="I240">
        <f t="shared" si="3"/>
        <v>0</v>
      </c>
    </row>
    <row r="241" spans="1:9" x14ac:dyDescent="0.3">
      <c r="A241">
        <v>36</v>
      </c>
      <c r="B241">
        <v>10</v>
      </c>
      <c r="C241" s="4">
        <v>22.6</v>
      </c>
      <c r="D241" t="s">
        <v>11</v>
      </c>
      <c r="E241" t="s">
        <v>9</v>
      </c>
      <c r="F241">
        <v>2024</v>
      </c>
      <c r="G241" s="4">
        <v>22.6</v>
      </c>
      <c r="H241">
        <v>66.099999999999994</v>
      </c>
      <c r="I241">
        <f t="shared" si="3"/>
        <v>0</v>
      </c>
    </row>
    <row r="242" spans="1:9" x14ac:dyDescent="0.3">
      <c r="A242">
        <v>37</v>
      </c>
      <c r="B242">
        <v>10</v>
      </c>
      <c r="C242" s="4">
        <v>21.9</v>
      </c>
      <c r="D242" t="s">
        <v>11</v>
      </c>
      <c r="E242" t="s">
        <v>9</v>
      </c>
      <c r="F242">
        <v>2024</v>
      </c>
      <c r="G242" s="4">
        <v>21.9</v>
      </c>
      <c r="H242">
        <v>66.099999999999994</v>
      </c>
      <c r="I242">
        <f t="shared" si="3"/>
        <v>0</v>
      </c>
    </row>
    <row r="243" spans="1:9" x14ac:dyDescent="0.3">
      <c r="A243">
        <v>38</v>
      </c>
      <c r="B243">
        <v>10</v>
      </c>
      <c r="C243" s="4">
        <v>12.1</v>
      </c>
      <c r="D243" t="s">
        <v>11</v>
      </c>
      <c r="E243" t="s">
        <v>9</v>
      </c>
      <c r="F243">
        <v>2024</v>
      </c>
      <c r="G243" s="4">
        <v>12.1</v>
      </c>
      <c r="H243">
        <v>66.099999999999994</v>
      </c>
      <c r="I243">
        <f t="shared" si="3"/>
        <v>0</v>
      </c>
    </row>
    <row r="244" spans="1:9" x14ac:dyDescent="0.3">
      <c r="A244">
        <v>1</v>
      </c>
      <c r="B244">
        <v>11</v>
      </c>
      <c r="C244" s="4">
        <v>56.9</v>
      </c>
      <c r="D244" t="s">
        <v>8</v>
      </c>
      <c r="E244" t="s">
        <v>9</v>
      </c>
      <c r="F244">
        <v>2024</v>
      </c>
      <c r="G244" s="4">
        <v>56.899999999999991</v>
      </c>
      <c r="H244">
        <v>64.5</v>
      </c>
      <c r="I244">
        <f t="shared" si="3"/>
        <v>0</v>
      </c>
    </row>
    <row r="245" spans="1:9" x14ac:dyDescent="0.3">
      <c r="A245">
        <v>2</v>
      </c>
      <c r="B245">
        <v>11</v>
      </c>
      <c r="C245" s="4">
        <v>50.2</v>
      </c>
      <c r="D245" t="s">
        <v>8</v>
      </c>
      <c r="E245" t="s">
        <v>9</v>
      </c>
      <c r="F245">
        <v>2024</v>
      </c>
      <c r="G245" s="4">
        <v>50.2</v>
      </c>
      <c r="H245">
        <v>64.5</v>
      </c>
      <c r="I245">
        <f t="shared" si="3"/>
        <v>0</v>
      </c>
    </row>
    <row r="246" spans="1:9" x14ac:dyDescent="0.3">
      <c r="A246">
        <v>3</v>
      </c>
      <c r="B246">
        <v>11</v>
      </c>
      <c r="C246" s="4">
        <v>49.6</v>
      </c>
      <c r="D246" t="s">
        <v>8</v>
      </c>
      <c r="E246" t="s">
        <v>9</v>
      </c>
      <c r="F246">
        <v>2024</v>
      </c>
      <c r="G246" s="4">
        <v>49.6</v>
      </c>
      <c r="H246">
        <v>64.5</v>
      </c>
      <c r="I246">
        <f t="shared" si="3"/>
        <v>0</v>
      </c>
    </row>
    <row r="247" spans="1:9" x14ac:dyDescent="0.3">
      <c r="A247">
        <v>4</v>
      </c>
      <c r="B247">
        <v>11</v>
      </c>
      <c r="C247" s="4">
        <v>47.8</v>
      </c>
      <c r="D247" t="s">
        <v>12</v>
      </c>
      <c r="E247" t="s">
        <v>9</v>
      </c>
      <c r="F247">
        <v>2024</v>
      </c>
      <c r="G247" s="4">
        <v>47.8</v>
      </c>
      <c r="H247">
        <v>64.5</v>
      </c>
      <c r="I247">
        <f t="shared" si="3"/>
        <v>0</v>
      </c>
    </row>
    <row r="248" spans="1:9" x14ac:dyDescent="0.3">
      <c r="A248">
        <v>5</v>
      </c>
      <c r="B248">
        <v>11</v>
      </c>
      <c r="C248" s="4">
        <v>41.6</v>
      </c>
      <c r="D248" t="s">
        <v>12</v>
      </c>
      <c r="E248" t="s">
        <v>9</v>
      </c>
      <c r="F248">
        <v>2024</v>
      </c>
      <c r="G248" s="4">
        <v>41.6</v>
      </c>
      <c r="H248">
        <v>64.5</v>
      </c>
      <c r="I248">
        <f t="shared" si="3"/>
        <v>0</v>
      </c>
    </row>
    <row r="249" spans="1:9" x14ac:dyDescent="0.3">
      <c r="A249">
        <v>6</v>
      </c>
      <c r="B249">
        <v>11</v>
      </c>
      <c r="C249" s="4">
        <v>41.5</v>
      </c>
      <c r="D249" t="s">
        <v>12</v>
      </c>
      <c r="E249" t="s">
        <v>9</v>
      </c>
      <c r="F249">
        <v>2024</v>
      </c>
      <c r="G249" s="4">
        <v>41.5</v>
      </c>
      <c r="H249">
        <v>64.5</v>
      </c>
      <c r="I249">
        <f t="shared" si="3"/>
        <v>0</v>
      </c>
    </row>
    <row r="250" spans="1:9" x14ac:dyDescent="0.3">
      <c r="A250">
        <v>7</v>
      </c>
      <c r="B250">
        <v>11</v>
      </c>
      <c r="C250" s="4">
        <v>40.799999999999997</v>
      </c>
      <c r="D250" t="s">
        <v>12</v>
      </c>
      <c r="E250" t="s">
        <v>9</v>
      </c>
      <c r="F250">
        <v>2024</v>
      </c>
      <c r="G250" s="4">
        <v>40.799999999999997</v>
      </c>
      <c r="H250">
        <v>64.5</v>
      </c>
      <c r="I250">
        <f t="shared" si="3"/>
        <v>0</v>
      </c>
    </row>
    <row r="251" spans="1:9" x14ac:dyDescent="0.3">
      <c r="A251">
        <v>8</v>
      </c>
      <c r="B251">
        <v>11</v>
      </c>
      <c r="C251" s="4">
        <v>40.799999999999997</v>
      </c>
      <c r="D251" t="s">
        <v>12</v>
      </c>
      <c r="E251" t="s">
        <v>9</v>
      </c>
      <c r="F251">
        <v>2024</v>
      </c>
      <c r="G251" s="4">
        <v>40.799999999999997</v>
      </c>
      <c r="H251">
        <v>64.5</v>
      </c>
      <c r="I251">
        <f t="shared" si="3"/>
        <v>0</v>
      </c>
    </row>
    <row r="252" spans="1:9" x14ac:dyDescent="0.3">
      <c r="A252">
        <v>9</v>
      </c>
      <c r="B252">
        <v>11</v>
      </c>
      <c r="C252" s="4">
        <v>40.6</v>
      </c>
      <c r="D252" t="s">
        <v>12</v>
      </c>
      <c r="E252" t="s">
        <v>9</v>
      </c>
      <c r="F252">
        <v>2024</v>
      </c>
      <c r="G252" s="4">
        <v>40.6</v>
      </c>
      <c r="H252">
        <v>64.5</v>
      </c>
      <c r="I252">
        <f t="shared" si="3"/>
        <v>0</v>
      </c>
    </row>
    <row r="253" spans="1:9" x14ac:dyDescent="0.3">
      <c r="A253">
        <v>10</v>
      </c>
      <c r="B253">
        <v>11</v>
      </c>
      <c r="C253" s="4">
        <v>40.5</v>
      </c>
      <c r="D253" t="s">
        <v>12</v>
      </c>
      <c r="E253" t="s">
        <v>9</v>
      </c>
      <c r="F253">
        <v>2024</v>
      </c>
      <c r="G253" s="4">
        <v>40.5</v>
      </c>
      <c r="H253">
        <v>64.5</v>
      </c>
      <c r="I253">
        <f t="shared" si="3"/>
        <v>0</v>
      </c>
    </row>
    <row r="254" spans="1:9" x14ac:dyDescent="0.3">
      <c r="A254">
        <v>11</v>
      </c>
      <c r="B254">
        <v>11</v>
      </c>
      <c r="C254" s="4">
        <v>40.5</v>
      </c>
      <c r="D254" t="s">
        <v>12</v>
      </c>
      <c r="E254" t="s">
        <v>9</v>
      </c>
      <c r="F254">
        <v>2024</v>
      </c>
      <c r="G254" s="4">
        <v>40.5</v>
      </c>
      <c r="H254">
        <v>64.5</v>
      </c>
      <c r="I254">
        <f t="shared" si="3"/>
        <v>0</v>
      </c>
    </row>
    <row r="255" spans="1:9" x14ac:dyDescent="0.3">
      <c r="A255">
        <v>12</v>
      </c>
      <c r="B255">
        <v>11</v>
      </c>
      <c r="C255" s="4">
        <v>39.4</v>
      </c>
      <c r="D255" t="s">
        <v>12</v>
      </c>
      <c r="E255" t="s">
        <v>9</v>
      </c>
      <c r="F255">
        <v>2024</v>
      </c>
      <c r="G255" s="4">
        <v>39.4</v>
      </c>
      <c r="H255">
        <v>64.5</v>
      </c>
      <c r="I255">
        <f t="shared" si="3"/>
        <v>0</v>
      </c>
    </row>
    <row r="256" spans="1:9" x14ac:dyDescent="0.3">
      <c r="A256">
        <v>13</v>
      </c>
      <c r="B256">
        <v>11</v>
      </c>
      <c r="C256" s="4">
        <v>39.1</v>
      </c>
      <c r="D256" t="s">
        <v>12</v>
      </c>
      <c r="E256" t="s">
        <v>9</v>
      </c>
      <c r="F256">
        <v>2024</v>
      </c>
      <c r="G256" s="4">
        <v>39.1</v>
      </c>
      <c r="H256">
        <v>64.5</v>
      </c>
      <c r="I256">
        <f t="shared" si="3"/>
        <v>0</v>
      </c>
    </row>
    <row r="257" spans="1:9" x14ac:dyDescent="0.3">
      <c r="A257">
        <v>14</v>
      </c>
      <c r="B257">
        <v>11</v>
      </c>
      <c r="C257" s="4">
        <v>39</v>
      </c>
      <c r="D257" t="s">
        <v>12</v>
      </c>
      <c r="E257" t="s">
        <v>9</v>
      </c>
      <c r="F257">
        <v>2024</v>
      </c>
      <c r="G257" s="4">
        <v>39</v>
      </c>
      <c r="H257">
        <v>64.5</v>
      </c>
      <c r="I257">
        <f t="shared" si="3"/>
        <v>0</v>
      </c>
    </row>
    <row r="258" spans="1:9" x14ac:dyDescent="0.3">
      <c r="A258">
        <v>15</v>
      </c>
      <c r="B258">
        <v>11</v>
      </c>
      <c r="C258" s="4">
        <v>38.799999999999997</v>
      </c>
      <c r="D258" t="s">
        <v>11</v>
      </c>
      <c r="E258" t="s">
        <v>9</v>
      </c>
      <c r="F258">
        <v>2024</v>
      </c>
      <c r="G258" s="4">
        <v>38.799999999999997</v>
      </c>
      <c r="H258">
        <v>64.5</v>
      </c>
      <c r="I258">
        <f t="shared" si="3"/>
        <v>0</v>
      </c>
    </row>
    <row r="259" spans="1:9" x14ac:dyDescent="0.3">
      <c r="A259">
        <v>16</v>
      </c>
      <c r="B259">
        <v>11</v>
      </c>
      <c r="C259" s="4">
        <v>38.799999999999997</v>
      </c>
      <c r="D259" t="s">
        <v>11</v>
      </c>
      <c r="E259" t="s">
        <v>9</v>
      </c>
      <c r="F259">
        <v>2024</v>
      </c>
      <c r="G259" s="4">
        <v>38.799999999999997</v>
      </c>
      <c r="H259">
        <v>64.5</v>
      </c>
      <c r="I259">
        <f t="shared" ref="I259:I322" si="4">IF(C259&gt;=H259,1,0)</f>
        <v>0</v>
      </c>
    </row>
    <row r="260" spans="1:9" x14ac:dyDescent="0.3">
      <c r="A260">
        <v>17</v>
      </c>
      <c r="B260">
        <v>11</v>
      </c>
      <c r="C260" s="4">
        <v>38.6</v>
      </c>
      <c r="D260" t="s">
        <v>11</v>
      </c>
      <c r="E260" t="s">
        <v>9</v>
      </c>
      <c r="F260">
        <v>2024</v>
      </c>
      <c r="G260" s="4">
        <v>38.6</v>
      </c>
      <c r="H260">
        <v>64.5</v>
      </c>
      <c r="I260">
        <f t="shared" si="4"/>
        <v>0</v>
      </c>
    </row>
    <row r="261" spans="1:9" x14ac:dyDescent="0.3">
      <c r="A261">
        <v>18</v>
      </c>
      <c r="B261">
        <v>11</v>
      </c>
      <c r="C261" s="4">
        <v>38.4</v>
      </c>
      <c r="D261" t="s">
        <v>11</v>
      </c>
      <c r="E261" t="s">
        <v>9</v>
      </c>
      <c r="F261">
        <v>2024</v>
      </c>
      <c r="G261" s="4">
        <v>38.4</v>
      </c>
      <c r="H261">
        <v>64.5</v>
      </c>
      <c r="I261">
        <f t="shared" si="4"/>
        <v>0</v>
      </c>
    </row>
    <row r="262" spans="1:9" x14ac:dyDescent="0.3">
      <c r="A262">
        <v>19</v>
      </c>
      <c r="B262">
        <v>11</v>
      </c>
      <c r="C262" s="4">
        <v>37.700000000000003</v>
      </c>
      <c r="D262" t="s">
        <v>11</v>
      </c>
      <c r="E262" t="s">
        <v>9</v>
      </c>
      <c r="F262">
        <v>2024</v>
      </c>
      <c r="G262" s="4">
        <v>37.700000000000003</v>
      </c>
      <c r="H262">
        <v>64.5</v>
      </c>
      <c r="I262">
        <f t="shared" si="4"/>
        <v>0</v>
      </c>
    </row>
    <row r="263" spans="1:9" x14ac:dyDescent="0.3">
      <c r="A263">
        <v>20</v>
      </c>
      <c r="B263">
        <v>11</v>
      </c>
      <c r="C263" s="4">
        <v>37.5</v>
      </c>
      <c r="D263" t="s">
        <v>11</v>
      </c>
      <c r="E263" t="s">
        <v>9</v>
      </c>
      <c r="F263">
        <v>2024</v>
      </c>
      <c r="G263" s="4">
        <v>37.5</v>
      </c>
      <c r="H263">
        <v>64.5</v>
      </c>
      <c r="I263">
        <f t="shared" si="4"/>
        <v>0</v>
      </c>
    </row>
    <row r="264" spans="1:9" x14ac:dyDescent="0.3">
      <c r="A264">
        <v>21</v>
      </c>
      <c r="B264">
        <v>11</v>
      </c>
      <c r="C264" s="4">
        <v>37.4</v>
      </c>
      <c r="D264" t="s">
        <v>11</v>
      </c>
      <c r="E264" t="s">
        <v>9</v>
      </c>
      <c r="F264">
        <v>2024</v>
      </c>
      <c r="G264" s="4">
        <v>37.4</v>
      </c>
      <c r="H264">
        <v>64.5</v>
      </c>
      <c r="I264">
        <f t="shared" si="4"/>
        <v>0</v>
      </c>
    </row>
    <row r="265" spans="1:9" x14ac:dyDescent="0.3">
      <c r="A265">
        <v>22</v>
      </c>
      <c r="B265">
        <v>11</v>
      </c>
      <c r="C265" s="4">
        <v>36.799999999999997</v>
      </c>
      <c r="D265" t="s">
        <v>11</v>
      </c>
      <c r="E265" t="s">
        <v>9</v>
      </c>
      <c r="F265">
        <v>2024</v>
      </c>
      <c r="G265" s="4">
        <v>36.799999999999997</v>
      </c>
      <c r="H265">
        <v>64.5</v>
      </c>
      <c r="I265">
        <f t="shared" si="4"/>
        <v>0</v>
      </c>
    </row>
    <row r="266" spans="1:9" x14ac:dyDescent="0.3">
      <c r="A266">
        <v>23</v>
      </c>
      <c r="B266">
        <v>11</v>
      </c>
      <c r="C266" s="4">
        <v>36.6</v>
      </c>
      <c r="D266" t="s">
        <v>11</v>
      </c>
      <c r="E266" t="s">
        <v>9</v>
      </c>
      <c r="F266">
        <v>2024</v>
      </c>
      <c r="G266" s="4">
        <v>36.6</v>
      </c>
      <c r="H266">
        <v>64.5</v>
      </c>
      <c r="I266">
        <f t="shared" si="4"/>
        <v>0</v>
      </c>
    </row>
    <row r="267" spans="1:9" x14ac:dyDescent="0.3">
      <c r="A267">
        <v>24</v>
      </c>
      <c r="B267">
        <v>11</v>
      </c>
      <c r="C267" s="4">
        <v>36.6</v>
      </c>
      <c r="D267" t="s">
        <v>11</v>
      </c>
      <c r="E267" t="s">
        <v>9</v>
      </c>
      <c r="F267">
        <v>2024</v>
      </c>
      <c r="G267" s="4">
        <v>36.6</v>
      </c>
      <c r="H267">
        <v>64.5</v>
      </c>
      <c r="I267">
        <f t="shared" si="4"/>
        <v>0</v>
      </c>
    </row>
    <row r="268" spans="1:9" x14ac:dyDescent="0.3">
      <c r="A268">
        <v>25</v>
      </c>
      <c r="B268">
        <v>11</v>
      </c>
      <c r="C268" s="4">
        <v>35.9</v>
      </c>
      <c r="D268" t="s">
        <v>11</v>
      </c>
      <c r="E268" t="s">
        <v>9</v>
      </c>
      <c r="F268">
        <v>2024</v>
      </c>
      <c r="G268" s="4">
        <v>35.9</v>
      </c>
      <c r="H268">
        <v>64.5</v>
      </c>
      <c r="I268">
        <f t="shared" si="4"/>
        <v>0</v>
      </c>
    </row>
    <row r="269" spans="1:9" x14ac:dyDescent="0.3">
      <c r="A269">
        <v>26</v>
      </c>
      <c r="B269">
        <v>11</v>
      </c>
      <c r="C269" s="4">
        <v>35.5</v>
      </c>
      <c r="D269" t="s">
        <v>11</v>
      </c>
      <c r="E269" t="s">
        <v>9</v>
      </c>
      <c r="F269">
        <v>2024</v>
      </c>
      <c r="G269" s="4">
        <v>35.5</v>
      </c>
      <c r="H269">
        <v>64.5</v>
      </c>
      <c r="I269">
        <f t="shared" si="4"/>
        <v>0</v>
      </c>
    </row>
    <row r="270" spans="1:9" x14ac:dyDescent="0.3">
      <c r="A270">
        <v>27</v>
      </c>
      <c r="B270">
        <v>11</v>
      </c>
      <c r="C270" s="4">
        <v>35.5</v>
      </c>
      <c r="D270" t="s">
        <v>11</v>
      </c>
      <c r="E270" t="s">
        <v>9</v>
      </c>
      <c r="F270">
        <v>2024</v>
      </c>
      <c r="G270" s="4">
        <v>35.5</v>
      </c>
      <c r="H270">
        <v>64.5</v>
      </c>
      <c r="I270">
        <f t="shared" si="4"/>
        <v>0</v>
      </c>
    </row>
    <row r="271" spans="1:9" x14ac:dyDescent="0.3">
      <c r="A271">
        <v>28</v>
      </c>
      <c r="B271">
        <v>11</v>
      </c>
      <c r="C271" s="4">
        <v>34.4</v>
      </c>
      <c r="D271" t="s">
        <v>11</v>
      </c>
      <c r="E271" t="s">
        <v>9</v>
      </c>
      <c r="F271">
        <v>2024</v>
      </c>
      <c r="G271" s="4">
        <v>34.4</v>
      </c>
      <c r="H271">
        <v>64.5</v>
      </c>
      <c r="I271">
        <f t="shared" si="4"/>
        <v>0</v>
      </c>
    </row>
    <row r="272" spans="1:9" x14ac:dyDescent="0.3">
      <c r="A272">
        <v>29</v>
      </c>
      <c r="B272">
        <v>11</v>
      </c>
      <c r="C272" s="4">
        <v>32.9</v>
      </c>
      <c r="D272" t="s">
        <v>11</v>
      </c>
      <c r="E272" t="s">
        <v>9</v>
      </c>
      <c r="F272">
        <v>2024</v>
      </c>
      <c r="G272" s="4">
        <v>32.9</v>
      </c>
      <c r="H272">
        <v>64.5</v>
      </c>
      <c r="I272">
        <f t="shared" si="4"/>
        <v>0</v>
      </c>
    </row>
    <row r="273" spans="1:9" x14ac:dyDescent="0.3">
      <c r="A273">
        <v>30</v>
      </c>
      <c r="B273">
        <v>11</v>
      </c>
      <c r="C273" s="4">
        <v>32.799999999999997</v>
      </c>
      <c r="D273" t="s">
        <v>11</v>
      </c>
      <c r="E273" t="s">
        <v>9</v>
      </c>
      <c r="F273">
        <v>2024</v>
      </c>
      <c r="G273" s="4">
        <v>32.799999999999997</v>
      </c>
      <c r="H273">
        <v>64.5</v>
      </c>
      <c r="I273">
        <f t="shared" si="4"/>
        <v>0</v>
      </c>
    </row>
    <row r="274" spans="1:9" x14ac:dyDescent="0.3">
      <c r="A274">
        <v>31</v>
      </c>
      <c r="B274">
        <v>11</v>
      </c>
      <c r="C274" s="4">
        <v>32.700000000000003</v>
      </c>
      <c r="D274" t="s">
        <v>11</v>
      </c>
      <c r="E274" t="s">
        <v>9</v>
      </c>
      <c r="F274">
        <v>2024</v>
      </c>
      <c r="G274" s="4">
        <v>32.700000000000003</v>
      </c>
      <c r="H274">
        <v>64.5</v>
      </c>
      <c r="I274">
        <f t="shared" si="4"/>
        <v>0</v>
      </c>
    </row>
    <row r="275" spans="1:9" x14ac:dyDescent="0.3">
      <c r="A275">
        <v>32</v>
      </c>
      <c r="B275">
        <v>11</v>
      </c>
      <c r="C275" s="4">
        <v>31.9</v>
      </c>
      <c r="D275" t="s">
        <v>11</v>
      </c>
      <c r="E275" t="s">
        <v>9</v>
      </c>
      <c r="F275">
        <v>2024</v>
      </c>
      <c r="G275" s="4">
        <v>31.9</v>
      </c>
      <c r="H275">
        <v>64.5</v>
      </c>
      <c r="I275">
        <f t="shared" si="4"/>
        <v>0</v>
      </c>
    </row>
    <row r="276" spans="1:9" x14ac:dyDescent="0.3">
      <c r="A276">
        <v>33</v>
      </c>
      <c r="B276">
        <v>11</v>
      </c>
      <c r="C276" s="4">
        <v>31.7</v>
      </c>
      <c r="D276" t="s">
        <v>11</v>
      </c>
      <c r="E276" t="s">
        <v>9</v>
      </c>
      <c r="F276">
        <v>2024</v>
      </c>
      <c r="G276" s="4">
        <v>31.7</v>
      </c>
      <c r="H276">
        <v>64.5</v>
      </c>
      <c r="I276">
        <f t="shared" si="4"/>
        <v>0</v>
      </c>
    </row>
    <row r="277" spans="1:9" x14ac:dyDescent="0.3">
      <c r="A277">
        <v>34</v>
      </c>
      <c r="B277">
        <v>11</v>
      </c>
      <c r="C277" s="4">
        <v>31.5</v>
      </c>
      <c r="D277" t="s">
        <v>11</v>
      </c>
      <c r="E277" t="s">
        <v>9</v>
      </c>
      <c r="F277">
        <v>2024</v>
      </c>
      <c r="G277" s="4">
        <v>31.5</v>
      </c>
      <c r="H277">
        <v>64.5</v>
      </c>
      <c r="I277">
        <f t="shared" si="4"/>
        <v>0</v>
      </c>
    </row>
    <row r="278" spans="1:9" x14ac:dyDescent="0.3">
      <c r="A278">
        <v>35</v>
      </c>
      <c r="B278">
        <v>11</v>
      </c>
      <c r="C278" s="4">
        <v>31</v>
      </c>
      <c r="D278" t="s">
        <v>11</v>
      </c>
      <c r="E278" t="s">
        <v>9</v>
      </c>
      <c r="F278">
        <v>2024</v>
      </c>
      <c r="G278" s="4">
        <v>31</v>
      </c>
      <c r="H278">
        <v>64.5</v>
      </c>
      <c r="I278">
        <f t="shared" si="4"/>
        <v>0</v>
      </c>
    </row>
    <row r="279" spans="1:9" x14ac:dyDescent="0.3">
      <c r="A279">
        <v>36</v>
      </c>
      <c r="B279">
        <v>11</v>
      </c>
      <c r="C279" s="4">
        <v>29.7</v>
      </c>
      <c r="D279" t="s">
        <v>11</v>
      </c>
      <c r="E279" t="s">
        <v>9</v>
      </c>
      <c r="F279">
        <v>2024</v>
      </c>
      <c r="G279" s="4">
        <v>29.7</v>
      </c>
      <c r="H279">
        <v>64.5</v>
      </c>
      <c r="I279">
        <f t="shared" si="4"/>
        <v>0</v>
      </c>
    </row>
    <row r="280" spans="1:9" x14ac:dyDescent="0.3">
      <c r="A280">
        <v>37</v>
      </c>
      <c r="B280">
        <v>11</v>
      </c>
      <c r="C280" s="4">
        <v>28.9</v>
      </c>
      <c r="D280" t="s">
        <v>11</v>
      </c>
      <c r="E280" t="s">
        <v>9</v>
      </c>
      <c r="F280">
        <v>2024</v>
      </c>
      <c r="G280" s="4">
        <v>28.9</v>
      </c>
      <c r="H280">
        <v>64.5</v>
      </c>
      <c r="I280">
        <f t="shared" si="4"/>
        <v>0</v>
      </c>
    </row>
    <row r="281" spans="1:9" x14ac:dyDescent="0.3">
      <c r="A281">
        <v>38</v>
      </c>
      <c r="B281">
        <v>11</v>
      </c>
      <c r="C281" s="4">
        <v>28.5</v>
      </c>
      <c r="D281" t="s">
        <v>11</v>
      </c>
      <c r="E281" t="s">
        <v>9</v>
      </c>
      <c r="F281">
        <v>2024</v>
      </c>
      <c r="G281" s="4">
        <v>28.5</v>
      </c>
      <c r="H281">
        <v>64.5</v>
      </c>
      <c r="I281">
        <f t="shared" si="4"/>
        <v>0</v>
      </c>
    </row>
    <row r="282" spans="1:9" x14ac:dyDescent="0.3">
      <c r="A282">
        <v>39</v>
      </c>
      <c r="B282">
        <v>11</v>
      </c>
      <c r="C282" s="4">
        <v>28.4</v>
      </c>
      <c r="D282" t="s">
        <v>11</v>
      </c>
      <c r="E282" t="s">
        <v>9</v>
      </c>
      <c r="F282">
        <v>2024</v>
      </c>
      <c r="G282" s="4">
        <v>28.4</v>
      </c>
      <c r="H282">
        <v>64.5</v>
      </c>
      <c r="I282">
        <f t="shared" si="4"/>
        <v>0</v>
      </c>
    </row>
    <row r="283" spans="1:9" x14ac:dyDescent="0.3">
      <c r="A283">
        <v>40</v>
      </c>
      <c r="B283">
        <v>11</v>
      </c>
      <c r="C283" s="4">
        <v>27.8</v>
      </c>
      <c r="D283" t="s">
        <v>11</v>
      </c>
      <c r="E283" t="s">
        <v>9</v>
      </c>
      <c r="F283">
        <v>2024</v>
      </c>
      <c r="G283" s="4">
        <v>27.8</v>
      </c>
      <c r="H283">
        <v>64.5</v>
      </c>
      <c r="I283">
        <f t="shared" si="4"/>
        <v>0</v>
      </c>
    </row>
    <row r="284" spans="1:9" x14ac:dyDescent="0.3">
      <c r="A284">
        <v>41</v>
      </c>
      <c r="B284">
        <v>11</v>
      </c>
      <c r="C284" s="4">
        <v>26.2</v>
      </c>
      <c r="D284" t="s">
        <v>11</v>
      </c>
      <c r="E284" t="s">
        <v>9</v>
      </c>
      <c r="F284">
        <v>2024</v>
      </c>
      <c r="G284" s="4">
        <v>26.2</v>
      </c>
      <c r="H284">
        <v>64.5</v>
      </c>
      <c r="I284">
        <f t="shared" si="4"/>
        <v>0</v>
      </c>
    </row>
    <row r="285" spans="1:9" x14ac:dyDescent="0.3">
      <c r="A285">
        <v>42</v>
      </c>
      <c r="B285">
        <v>11</v>
      </c>
      <c r="C285" s="4">
        <v>13.7</v>
      </c>
      <c r="D285" t="s">
        <v>11</v>
      </c>
      <c r="E285" t="s">
        <v>9</v>
      </c>
      <c r="F285">
        <v>2024</v>
      </c>
      <c r="G285" s="4">
        <v>13.7</v>
      </c>
      <c r="H285">
        <v>64.5</v>
      </c>
      <c r="I285">
        <f t="shared" si="4"/>
        <v>0</v>
      </c>
    </row>
    <row r="286" spans="1:9" x14ac:dyDescent="0.3">
      <c r="A286">
        <v>1</v>
      </c>
      <c r="B286">
        <v>9</v>
      </c>
      <c r="C286" s="4">
        <v>226</v>
      </c>
      <c r="D286" t="s">
        <v>8</v>
      </c>
      <c r="E286" t="s">
        <v>9</v>
      </c>
      <c r="F286">
        <v>2025</v>
      </c>
      <c r="G286" s="4">
        <v>72.435897435897431</v>
      </c>
      <c r="H286">
        <v>205.5</v>
      </c>
      <c r="I286">
        <f t="shared" si="4"/>
        <v>1</v>
      </c>
    </row>
    <row r="287" spans="1:9" x14ac:dyDescent="0.3">
      <c r="A287">
        <v>2</v>
      </c>
      <c r="B287">
        <v>9</v>
      </c>
      <c r="C287" s="4">
        <v>194.5</v>
      </c>
      <c r="D287" t="s">
        <v>8</v>
      </c>
      <c r="E287" t="s">
        <v>9</v>
      </c>
      <c r="F287">
        <v>2025</v>
      </c>
      <c r="G287" s="4">
        <v>62.339743589743591</v>
      </c>
      <c r="H287">
        <v>205.5</v>
      </c>
      <c r="I287">
        <f t="shared" si="4"/>
        <v>0</v>
      </c>
    </row>
    <row r="288" spans="1:9" x14ac:dyDescent="0.3">
      <c r="A288">
        <v>3</v>
      </c>
      <c r="B288">
        <v>9</v>
      </c>
      <c r="C288" s="4">
        <v>182</v>
      </c>
      <c r="D288" t="s">
        <v>8</v>
      </c>
      <c r="E288" t="s">
        <v>9</v>
      </c>
      <c r="F288">
        <v>2025</v>
      </c>
      <c r="G288" s="4">
        <v>58.333333333333343</v>
      </c>
      <c r="H288">
        <v>205.5</v>
      </c>
      <c r="I288">
        <f t="shared" si="4"/>
        <v>0</v>
      </c>
    </row>
    <row r="289" spans="1:9" x14ac:dyDescent="0.3">
      <c r="A289">
        <v>4</v>
      </c>
      <c r="B289">
        <v>9</v>
      </c>
      <c r="C289" s="4">
        <v>162.5</v>
      </c>
      <c r="D289" t="s">
        <v>8</v>
      </c>
      <c r="E289" t="s">
        <v>9</v>
      </c>
      <c r="F289">
        <v>2025</v>
      </c>
      <c r="G289" s="4">
        <v>52.083333333333343</v>
      </c>
      <c r="H289">
        <v>205.5</v>
      </c>
      <c r="I289">
        <f t="shared" si="4"/>
        <v>0</v>
      </c>
    </row>
    <row r="290" spans="1:9" x14ac:dyDescent="0.3">
      <c r="A290">
        <v>5</v>
      </c>
      <c r="B290">
        <v>9</v>
      </c>
      <c r="C290" s="4">
        <v>159</v>
      </c>
      <c r="D290" t="s">
        <v>12</v>
      </c>
      <c r="E290" t="s">
        <v>9</v>
      </c>
      <c r="F290">
        <v>2025</v>
      </c>
      <c r="G290" s="4">
        <v>50.96153846153846</v>
      </c>
      <c r="H290">
        <v>205.5</v>
      </c>
      <c r="I290">
        <f t="shared" si="4"/>
        <v>0</v>
      </c>
    </row>
    <row r="291" spans="1:9" x14ac:dyDescent="0.3">
      <c r="A291">
        <v>6</v>
      </c>
      <c r="B291">
        <v>9</v>
      </c>
      <c r="C291" s="4">
        <v>155.5</v>
      </c>
      <c r="D291" t="s">
        <v>12</v>
      </c>
      <c r="E291" t="s">
        <v>9</v>
      </c>
      <c r="F291">
        <v>2025</v>
      </c>
      <c r="G291" s="4">
        <v>49.839743589743591</v>
      </c>
      <c r="H291">
        <v>205.5</v>
      </c>
      <c r="I291">
        <f t="shared" si="4"/>
        <v>0</v>
      </c>
    </row>
    <row r="292" spans="1:9" x14ac:dyDescent="0.3">
      <c r="A292">
        <v>7</v>
      </c>
      <c r="B292">
        <v>9</v>
      </c>
      <c r="C292" s="4">
        <v>153.5</v>
      </c>
      <c r="D292" t="s">
        <v>12</v>
      </c>
      <c r="E292" t="s">
        <v>9</v>
      </c>
      <c r="F292">
        <v>2025</v>
      </c>
      <c r="G292" s="4">
        <v>49.198717948717949</v>
      </c>
      <c r="H292">
        <v>205.5</v>
      </c>
      <c r="I292">
        <f t="shared" si="4"/>
        <v>0</v>
      </c>
    </row>
    <row r="293" spans="1:9" x14ac:dyDescent="0.3">
      <c r="A293">
        <v>8</v>
      </c>
      <c r="B293">
        <v>9</v>
      </c>
      <c r="C293" s="4">
        <v>146.5</v>
      </c>
      <c r="D293" t="s">
        <v>12</v>
      </c>
      <c r="E293" t="s">
        <v>9</v>
      </c>
      <c r="F293">
        <v>2025</v>
      </c>
      <c r="G293" s="4">
        <v>46.955128205128197</v>
      </c>
      <c r="H293">
        <v>205.5</v>
      </c>
      <c r="I293">
        <f t="shared" si="4"/>
        <v>0</v>
      </c>
    </row>
    <row r="294" spans="1:9" x14ac:dyDescent="0.3">
      <c r="A294">
        <v>9</v>
      </c>
      <c r="B294">
        <v>9</v>
      </c>
      <c r="C294" s="4">
        <v>139</v>
      </c>
      <c r="D294" t="s">
        <v>12</v>
      </c>
      <c r="E294" t="s">
        <v>9</v>
      </c>
      <c r="F294">
        <v>2025</v>
      </c>
      <c r="G294" s="4">
        <v>44.551282051282051</v>
      </c>
      <c r="H294">
        <v>205.5</v>
      </c>
      <c r="I294">
        <f t="shared" si="4"/>
        <v>0</v>
      </c>
    </row>
    <row r="295" spans="1:9" x14ac:dyDescent="0.3">
      <c r="A295">
        <v>10</v>
      </c>
      <c r="B295">
        <v>9</v>
      </c>
      <c r="C295" s="4">
        <v>137.5</v>
      </c>
      <c r="D295" t="s">
        <v>12</v>
      </c>
      <c r="E295" t="s">
        <v>9</v>
      </c>
      <c r="F295">
        <v>2025</v>
      </c>
      <c r="G295" s="4">
        <v>44.070512820512818</v>
      </c>
      <c r="H295">
        <v>205.5</v>
      </c>
      <c r="I295">
        <f t="shared" si="4"/>
        <v>0</v>
      </c>
    </row>
    <row r="296" spans="1:9" x14ac:dyDescent="0.3">
      <c r="A296">
        <v>11</v>
      </c>
      <c r="B296">
        <v>9</v>
      </c>
      <c r="C296" s="4">
        <v>137</v>
      </c>
      <c r="D296" t="s">
        <v>12</v>
      </c>
      <c r="E296" t="s">
        <v>9</v>
      </c>
      <c r="F296">
        <v>2025</v>
      </c>
      <c r="G296" s="4">
        <v>43.910256410256409</v>
      </c>
      <c r="H296">
        <v>205.5</v>
      </c>
      <c r="I296">
        <f t="shared" si="4"/>
        <v>0</v>
      </c>
    </row>
    <row r="297" spans="1:9" x14ac:dyDescent="0.3">
      <c r="A297">
        <v>12</v>
      </c>
      <c r="B297">
        <v>9</v>
      </c>
      <c r="C297" s="4">
        <v>136.5</v>
      </c>
      <c r="D297" t="s">
        <v>12</v>
      </c>
      <c r="E297" t="s">
        <v>9</v>
      </c>
      <c r="F297">
        <v>2025</v>
      </c>
      <c r="G297" s="4">
        <v>43.75</v>
      </c>
      <c r="H297">
        <v>205.5</v>
      </c>
      <c r="I297">
        <f t="shared" si="4"/>
        <v>0</v>
      </c>
    </row>
    <row r="298" spans="1:9" x14ac:dyDescent="0.3">
      <c r="A298">
        <v>13</v>
      </c>
      <c r="B298">
        <v>9</v>
      </c>
      <c r="C298" s="4">
        <v>135.5</v>
      </c>
      <c r="D298" t="s">
        <v>12</v>
      </c>
      <c r="E298" t="s">
        <v>9</v>
      </c>
      <c r="F298">
        <v>2025</v>
      </c>
      <c r="G298" s="4">
        <v>43.429487179487182</v>
      </c>
      <c r="H298">
        <v>205.5</v>
      </c>
      <c r="I298">
        <f t="shared" si="4"/>
        <v>0</v>
      </c>
    </row>
    <row r="299" spans="1:9" x14ac:dyDescent="0.3">
      <c r="A299">
        <v>14</v>
      </c>
      <c r="B299">
        <v>9</v>
      </c>
      <c r="C299" s="4">
        <v>132</v>
      </c>
      <c r="D299" t="s">
        <v>12</v>
      </c>
      <c r="E299" t="s">
        <v>9</v>
      </c>
      <c r="F299">
        <v>2025</v>
      </c>
      <c r="G299" s="4">
        <v>42.307692307692307</v>
      </c>
      <c r="H299">
        <v>205.5</v>
      </c>
      <c r="I299">
        <f t="shared" si="4"/>
        <v>0</v>
      </c>
    </row>
    <row r="300" spans="1:9" x14ac:dyDescent="0.3">
      <c r="A300">
        <v>15</v>
      </c>
      <c r="B300">
        <v>9</v>
      </c>
      <c r="C300" s="4">
        <v>130</v>
      </c>
      <c r="D300" t="s">
        <v>12</v>
      </c>
      <c r="E300" t="s">
        <v>9</v>
      </c>
      <c r="F300">
        <v>2025</v>
      </c>
      <c r="G300" s="4">
        <v>41.666666666666671</v>
      </c>
      <c r="H300">
        <v>205.5</v>
      </c>
      <c r="I300">
        <f t="shared" si="4"/>
        <v>0</v>
      </c>
    </row>
    <row r="301" spans="1:9" x14ac:dyDescent="0.3">
      <c r="A301">
        <v>16</v>
      </c>
      <c r="B301">
        <v>9</v>
      </c>
      <c r="C301" s="4">
        <v>128.5</v>
      </c>
      <c r="D301" t="s">
        <v>12</v>
      </c>
      <c r="E301" t="s">
        <v>9</v>
      </c>
      <c r="F301">
        <v>2025</v>
      </c>
      <c r="G301" s="4">
        <v>41.185897435897431</v>
      </c>
      <c r="H301">
        <v>205.5</v>
      </c>
      <c r="I301">
        <f t="shared" si="4"/>
        <v>0</v>
      </c>
    </row>
    <row r="302" spans="1:9" x14ac:dyDescent="0.3">
      <c r="A302">
        <v>17</v>
      </c>
      <c r="B302">
        <v>9</v>
      </c>
      <c r="C302" s="4">
        <v>125.5</v>
      </c>
      <c r="D302" t="s">
        <v>12</v>
      </c>
      <c r="E302" t="s">
        <v>9</v>
      </c>
      <c r="F302">
        <v>2025</v>
      </c>
      <c r="G302" s="4">
        <v>40.224358974358978</v>
      </c>
      <c r="H302">
        <v>205.5</v>
      </c>
      <c r="I302">
        <f t="shared" si="4"/>
        <v>0</v>
      </c>
    </row>
    <row r="303" spans="1:9" x14ac:dyDescent="0.3">
      <c r="A303">
        <v>18</v>
      </c>
      <c r="B303">
        <v>9</v>
      </c>
      <c r="C303" s="4">
        <v>125.5</v>
      </c>
      <c r="D303" t="s">
        <v>12</v>
      </c>
      <c r="E303" t="s">
        <v>9</v>
      </c>
      <c r="F303">
        <v>2025</v>
      </c>
      <c r="G303" s="4">
        <v>40.224358974358978</v>
      </c>
      <c r="H303">
        <v>205.5</v>
      </c>
      <c r="I303">
        <f t="shared" si="4"/>
        <v>0</v>
      </c>
    </row>
    <row r="304" spans="1:9" x14ac:dyDescent="0.3">
      <c r="A304">
        <v>19</v>
      </c>
      <c r="B304">
        <v>9</v>
      </c>
      <c r="C304" s="4">
        <v>121</v>
      </c>
      <c r="D304" t="s">
        <v>12</v>
      </c>
      <c r="E304" t="s">
        <v>9</v>
      </c>
      <c r="F304">
        <v>2025</v>
      </c>
      <c r="G304" s="4">
        <v>38.782051282051277</v>
      </c>
      <c r="H304">
        <v>205.5</v>
      </c>
      <c r="I304">
        <f t="shared" si="4"/>
        <v>0</v>
      </c>
    </row>
    <row r="305" spans="1:9" x14ac:dyDescent="0.3">
      <c r="A305">
        <v>20</v>
      </c>
      <c r="B305">
        <v>9</v>
      </c>
      <c r="C305" s="4">
        <v>120</v>
      </c>
      <c r="D305" t="s">
        <v>12</v>
      </c>
      <c r="E305" t="s">
        <v>9</v>
      </c>
      <c r="F305">
        <v>2025</v>
      </c>
      <c r="G305" s="4">
        <v>38.461538461538467</v>
      </c>
      <c r="H305">
        <v>205.5</v>
      </c>
      <c r="I305">
        <f t="shared" si="4"/>
        <v>0</v>
      </c>
    </row>
    <row r="306" spans="1:9" x14ac:dyDescent="0.3">
      <c r="A306">
        <v>21</v>
      </c>
      <c r="B306">
        <v>9</v>
      </c>
      <c r="C306" s="4">
        <v>118</v>
      </c>
      <c r="D306" t="s">
        <v>12</v>
      </c>
      <c r="E306" t="s">
        <v>9</v>
      </c>
      <c r="F306">
        <v>2025</v>
      </c>
      <c r="G306" s="4">
        <v>37.820512820512818</v>
      </c>
      <c r="H306">
        <v>205.5</v>
      </c>
      <c r="I306">
        <f t="shared" si="4"/>
        <v>0</v>
      </c>
    </row>
    <row r="307" spans="1:9" x14ac:dyDescent="0.3">
      <c r="A307">
        <v>22</v>
      </c>
      <c r="B307">
        <v>9</v>
      </c>
      <c r="C307" s="4">
        <v>118</v>
      </c>
      <c r="D307" t="s">
        <v>12</v>
      </c>
      <c r="E307" t="s">
        <v>9</v>
      </c>
      <c r="F307">
        <v>2025</v>
      </c>
      <c r="G307" s="4">
        <v>37.820512820512818</v>
      </c>
      <c r="H307">
        <v>205.5</v>
      </c>
      <c r="I307">
        <f t="shared" si="4"/>
        <v>0</v>
      </c>
    </row>
    <row r="308" spans="1:9" x14ac:dyDescent="0.3">
      <c r="A308">
        <v>23</v>
      </c>
      <c r="B308">
        <v>9</v>
      </c>
      <c r="C308" s="4">
        <v>115.5</v>
      </c>
      <c r="D308" t="s">
        <v>11</v>
      </c>
      <c r="E308" t="s">
        <v>9</v>
      </c>
      <c r="F308">
        <v>2025</v>
      </c>
      <c r="G308" s="4">
        <v>37.019230769230766</v>
      </c>
      <c r="H308">
        <v>205.5</v>
      </c>
      <c r="I308">
        <f t="shared" si="4"/>
        <v>0</v>
      </c>
    </row>
    <row r="309" spans="1:9" x14ac:dyDescent="0.3">
      <c r="A309">
        <v>24</v>
      </c>
      <c r="B309">
        <v>9</v>
      </c>
      <c r="C309" s="4">
        <v>115.5</v>
      </c>
      <c r="D309" t="s">
        <v>11</v>
      </c>
      <c r="E309" t="s">
        <v>9</v>
      </c>
      <c r="F309">
        <v>2025</v>
      </c>
      <c r="G309" s="4">
        <v>37.019230769230766</v>
      </c>
      <c r="H309">
        <v>205.5</v>
      </c>
      <c r="I309">
        <f t="shared" si="4"/>
        <v>0</v>
      </c>
    </row>
    <row r="310" spans="1:9" x14ac:dyDescent="0.3">
      <c r="A310">
        <v>25</v>
      </c>
      <c r="B310">
        <v>9</v>
      </c>
      <c r="C310" s="4">
        <v>115.5</v>
      </c>
      <c r="D310" t="s">
        <v>11</v>
      </c>
      <c r="E310" t="s">
        <v>9</v>
      </c>
      <c r="F310">
        <v>2025</v>
      </c>
      <c r="G310" s="4">
        <v>37.019230769230766</v>
      </c>
      <c r="H310">
        <v>205.5</v>
      </c>
      <c r="I310">
        <f t="shared" si="4"/>
        <v>0</v>
      </c>
    </row>
    <row r="311" spans="1:9" x14ac:dyDescent="0.3">
      <c r="A311">
        <v>26</v>
      </c>
      <c r="B311">
        <v>9</v>
      </c>
      <c r="C311" s="4">
        <v>115</v>
      </c>
      <c r="D311" t="s">
        <v>11</v>
      </c>
      <c r="E311" t="s">
        <v>9</v>
      </c>
      <c r="F311">
        <v>2025</v>
      </c>
      <c r="G311" s="4">
        <v>36.858974358974358</v>
      </c>
      <c r="H311">
        <v>205.5</v>
      </c>
      <c r="I311">
        <f t="shared" si="4"/>
        <v>0</v>
      </c>
    </row>
    <row r="312" spans="1:9" x14ac:dyDescent="0.3">
      <c r="A312">
        <v>27</v>
      </c>
      <c r="B312">
        <v>9</v>
      </c>
      <c r="C312" s="4">
        <v>115</v>
      </c>
      <c r="D312" t="s">
        <v>11</v>
      </c>
      <c r="E312" t="s">
        <v>9</v>
      </c>
      <c r="F312">
        <v>2025</v>
      </c>
      <c r="G312" s="4">
        <v>36.858974358974358</v>
      </c>
      <c r="H312">
        <v>205.5</v>
      </c>
      <c r="I312">
        <f t="shared" si="4"/>
        <v>0</v>
      </c>
    </row>
    <row r="313" spans="1:9" x14ac:dyDescent="0.3">
      <c r="A313">
        <v>28</v>
      </c>
      <c r="B313">
        <v>9</v>
      </c>
      <c r="C313" s="4">
        <v>115</v>
      </c>
      <c r="D313" t="s">
        <v>11</v>
      </c>
      <c r="E313" t="s">
        <v>9</v>
      </c>
      <c r="F313">
        <v>2025</v>
      </c>
      <c r="G313" s="4">
        <v>36.858974358974358</v>
      </c>
      <c r="H313">
        <v>205.5</v>
      </c>
      <c r="I313">
        <f t="shared" si="4"/>
        <v>0</v>
      </c>
    </row>
    <row r="314" spans="1:9" x14ac:dyDescent="0.3">
      <c r="A314">
        <v>29</v>
      </c>
      <c r="B314">
        <v>9</v>
      </c>
      <c r="C314" s="4">
        <v>112</v>
      </c>
      <c r="D314" t="s">
        <v>11</v>
      </c>
      <c r="E314" t="s">
        <v>9</v>
      </c>
      <c r="F314">
        <v>2025</v>
      </c>
      <c r="G314" s="4">
        <v>35.897435897435898</v>
      </c>
      <c r="H314">
        <v>205.5</v>
      </c>
      <c r="I314">
        <f t="shared" si="4"/>
        <v>0</v>
      </c>
    </row>
    <row r="315" spans="1:9" x14ac:dyDescent="0.3">
      <c r="A315">
        <v>30</v>
      </c>
      <c r="B315">
        <v>9</v>
      </c>
      <c r="C315" s="4">
        <v>112</v>
      </c>
      <c r="D315" t="s">
        <v>11</v>
      </c>
      <c r="E315" t="s">
        <v>9</v>
      </c>
      <c r="F315">
        <v>2025</v>
      </c>
      <c r="G315" s="4">
        <v>35.897435897435898</v>
      </c>
      <c r="H315">
        <v>205.5</v>
      </c>
      <c r="I315">
        <f t="shared" si="4"/>
        <v>0</v>
      </c>
    </row>
    <row r="316" spans="1:9" x14ac:dyDescent="0.3">
      <c r="A316">
        <v>31</v>
      </c>
      <c r="B316">
        <v>9</v>
      </c>
      <c r="C316" s="4">
        <v>111.5</v>
      </c>
      <c r="D316" t="s">
        <v>11</v>
      </c>
      <c r="E316" t="s">
        <v>9</v>
      </c>
      <c r="F316">
        <v>2025</v>
      </c>
      <c r="G316" s="4">
        <v>35.737179487179489</v>
      </c>
      <c r="H316">
        <v>205.5</v>
      </c>
      <c r="I316">
        <f t="shared" si="4"/>
        <v>0</v>
      </c>
    </row>
    <row r="317" spans="1:9" x14ac:dyDescent="0.3">
      <c r="A317">
        <v>32</v>
      </c>
      <c r="B317">
        <v>9</v>
      </c>
      <c r="C317" s="4">
        <v>110.5</v>
      </c>
      <c r="D317" t="s">
        <v>11</v>
      </c>
      <c r="E317" t="s">
        <v>9</v>
      </c>
      <c r="F317">
        <v>2025</v>
      </c>
      <c r="G317" s="4">
        <v>35.416666666666671</v>
      </c>
      <c r="H317">
        <v>205.5</v>
      </c>
      <c r="I317">
        <f t="shared" si="4"/>
        <v>0</v>
      </c>
    </row>
    <row r="318" spans="1:9" x14ac:dyDescent="0.3">
      <c r="A318">
        <v>33</v>
      </c>
      <c r="B318">
        <v>9</v>
      </c>
      <c r="C318" s="4">
        <v>109</v>
      </c>
      <c r="D318" t="s">
        <v>11</v>
      </c>
      <c r="E318" t="s">
        <v>9</v>
      </c>
      <c r="F318">
        <v>2025</v>
      </c>
      <c r="G318" s="4">
        <v>34.935897435897431</v>
      </c>
      <c r="H318">
        <v>205.5</v>
      </c>
      <c r="I318">
        <f t="shared" si="4"/>
        <v>0</v>
      </c>
    </row>
    <row r="319" spans="1:9" x14ac:dyDescent="0.3">
      <c r="A319">
        <v>34</v>
      </c>
      <c r="B319">
        <v>9</v>
      </c>
      <c r="C319" s="4">
        <v>107.5</v>
      </c>
      <c r="D319" t="s">
        <v>11</v>
      </c>
      <c r="E319" t="s">
        <v>9</v>
      </c>
      <c r="F319">
        <v>2025</v>
      </c>
      <c r="G319" s="4">
        <v>34.455128205128197</v>
      </c>
      <c r="H319">
        <v>205.5</v>
      </c>
      <c r="I319">
        <f t="shared" si="4"/>
        <v>0</v>
      </c>
    </row>
    <row r="320" spans="1:9" x14ac:dyDescent="0.3">
      <c r="A320">
        <v>35</v>
      </c>
      <c r="B320">
        <v>9</v>
      </c>
      <c r="C320" s="4">
        <v>106.5</v>
      </c>
      <c r="D320" t="s">
        <v>11</v>
      </c>
      <c r="E320" t="s">
        <v>9</v>
      </c>
      <c r="F320">
        <v>2025</v>
      </c>
      <c r="G320" s="4">
        <v>34.134615384615387</v>
      </c>
      <c r="H320">
        <v>205.5</v>
      </c>
      <c r="I320">
        <f t="shared" si="4"/>
        <v>0</v>
      </c>
    </row>
    <row r="321" spans="1:9" x14ac:dyDescent="0.3">
      <c r="A321">
        <v>36</v>
      </c>
      <c r="B321">
        <v>9</v>
      </c>
      <c r="C321" s="4">
        <v>103</v>
      </c>
      <c r="D321" t="s">
        <v>11</v>
      </c>
      <c r="E321" t="s">
        <v>9</v>
      </c>
      <c r="F321">
        <v>2025</v>
      </c>
      <c r="G321" s="4">
        <v>33.012820512820511</v>
      </c>
      <c r="H321">
        <v>205.5</v>
      </c>
      <c r="I321">
        <f t="shared" si="4"/>
        <v>0</v>
      </c>
    </row>
    <row r="322" spans="1:9" x14ac:dyDescent="0.3">
      <c r="A322">
        <v>37</v>
      </c>
      <c r="B322">
        <v>9</v>
      </c>
      <c r="C322" s="4">
        <v>103</v>
      </c>
      <c r="D322" t="s">
        <v>11</v>
      </c>
      <c r="E322" t="s">
        <v>9</v>
      </c>
      <c r="F322">
        <v>2025</v>
      </c>
      <c r="G322" s="4">
        <v>33.012820512820511</v>
      </c>
      <c r="H322">
        <v>205.5</v>
      </c>
      <c r="I322">
        <f t="shared" si="4"/>
        <v>0</v>
      </c>
    </row>
    <row r="323" spans="1:9" x14ac:dyDescent="0.3">
      <c r="A323">
        <v>38</v>
      </c>
      <c r="B323">
        <v>9</v>
      </c>
      <c r="C323" s="4">
        <v>101</v>
      </c>
      <c r="D323" t="s">
        <v>11</v>
      </c>
      <c r="E323" t="s">
        <v>9</v>
      </c>
      <c r="F323">
        <v>2025</v>
      </c>
      <c r="G323" s="4">
        <v>32.371794871794883</v>
      </c>
      <c r="H323">
        <v>205.5</v>
      </c>
      <c r="I323">
        <f t="shared" ref="I323:I386" si="5">IF(C323&gt;=H323,1,0)</f>
        <v>0</v>
      </c>
    </row>
    <row r="324" spans="1:9" x14ac:dyDescent="0.3">
      <c r="A324">
        <v>39</v>
      </c>
      <c r="B324">
        <v>9</v>
      </c>
      <c r="C324" s="4">
        <v>100</v>
      </c>
      <c r="D324" t="s">
        <v>11</v>
      </c>
      <c r="E324" t="s">
        <v>9</v>
      </c>
      <c r="F324">
        <v>2025</v>
      </c>
      <c r="G324" s="4">
        <v>32.051282051282051</v>
      </c>
      <c r="H324">
        <v>205.5</v>
      </c>
      <c r="I324">
        <f t="shared" si="5"/>
        <v>0</v>
      </c>
    </row>
    <row r="325" spans="1:9" x14ac:dyDescent="0.3">
      <c r="A325">
        <v>40</v>
      </c>
      <c r="B325">
        <v>9</v>
      </c>
      <c r="C325" s="4">
        <v>100</v>
      </c>
      <c r="D325" t="s">
        <v>11</v>
      </c>
      <c r="E325" t="s">
        <v>9</v>
      </c>
      <c r="F325">
        <v>2025</v>
      </c>
      <c r="G325" s="4">
        <v>32.051282051282051</v>
      </c>
      <c r="H325">
        <v>205.5</v>
      </c>
      <c r="I325">
        <f t="shared" si="5"/>
        <v>0</v>
      </c>
    </row>
    <row r="326" spans="1:9" x14ac:dyDescent="0.3">
      <c r="A326">
        <v>41</v>
      </c>
      <c r="B326">
        <v>9</v>
      </c>
      <c r="C326" s="4">
        <v>99.5</v>
      </c>
      <c r="D326" t="s">
        <v>11</v>
      </c>
      <c r="E326" t="s">
        <v>9</v>
      </c>
      <c r="F326">
        <v>2025</v>
      </c>
      <c r="G326" s="4">
        <v>31.891025641025639</v>
      </c>
      <c r="H326">
        <v>205.5</v>
      </c>
      <c r="I326">
        <f t="shared" si="5"/>
        <v>0</v>
      </c>
    </row>
    <row r="327" spans="1:9" x14ac:dyDescent="0.3">
      <c r="A327">
        <v>42</v>
      </c>
      <c r="B327">
        <v>9</v>
      </c>
      <c r="C327" s="4">
        <v>99.5</v>
      </c>
      <c r="D327" t="s">
        <v>11</v>
      </c>
      <c r="E327" t="s">
        <v>9</v>
      </c>
      <c r="F327">
        <v>2025</v>
      </c>
      <c r="G327" s="4">
        <v>31.891025641025639</v>
      </c>
      <c r="H327">
        <v>205.5</v>
      </c>
      <c r="I327">
        <f t="shared" si="5"/>
        <v>0</v>
      </c>
    </row>
    <row r="328" spans="1:9" x14ac:dyDescent="0.3">
      <c r="A328">
        <v>43</v>
      </c>
      <c r="B328">
        <v>9</v>
      </c>
      <c r="C328" s="4">
        <v>99</v>
      </c>
      <c r="D328" t="s">
        <v>11</v>
      </c>
      <c r="E328" t="s">
        <v>9</v>
      </c>
      <c r="F328">
        <v>2025</v>
      </c>
      <c r="G328" s="4">
        <v>31.73076923076923</v>
      </c>
      <c r="H328">
        <v>205.5</v>
      </c>
      <c r="I328">
        <f t="shared" si="5"/>
        <v>0</v>
      </c>
    </row>
    <row r="329" spans="1:9" x14ac:dyDescent="0.3">
      <c r="A329">
        <v>44</v>
      </c>
      <c r="B329">
        <v>9</v>
      </c>
      <c r="C329" s="4">
        <v>98.5</v>
      </c>
      <c r="D329" t="s">
        <v>11</v>
      </c>
      <c r="E329" t="s">
        <v>9</v>
      </c>
      <c r="F329">
        <v>2025</v>
      </c>
      <c r="G329" s="4">
        <v>31.570512820512821</v>
      </c>
      <c r="H329">
        <v>205.5</v>
      </c>
      <c r="I329">
        <f t="shared" si="5"/>
        <v>0</v>
      </c>
    </row>
    <row r="330" spans="1:9" x14ac:dyDescent="0.3">
      <c r="A330">
        <v>45</v>
      </c>
      <c r="B330">
        <v>9</v>
      </c>
      <c r="C330" s="4">
        <v>88.5</v>
      </c>
      <c r="D330" t="s">
        <v>11</v>
      </c>
      <c r="E330" t="s">
        <v>9</v>
      </c>
      <c r="F330">
        <v>2025</v>
      </c>
      <c r="G330" s="4">
        <v>28.36538461538461</v>
      </c>
      <c r="H330">
        <v>205.5</v>
      </c>
      <c r="I330">
        <f t="shared" si="5"/>
        <v>0</v>
      </c>
    </row>
    <row r="331" spans="1:9" x14ac:dyDescent="0.3">
      <c r="A331">
        <v>46</v>
      </c>
      <c r="B331">
        <v>9</v>
      </c>
      <c r="C331" s="4">
        <v>81</v>
      </c>
      <c r="D331" t="s">
        <v>11</v>
      </c>
      <c r="E331" t="s">
        <v>9</v>
      </c>
      <c r="F331">
        <v>2025</v>
      </c>
      <c r="G331" s="4">
        <v>25.96153846153846</v>
      </c>
      <c r="H331">
        <v>205.5</v>
      </c>
      <c r="I331">
        <f t="shared" si="5"/>
        <v>0</v>
      </c>
    </row>
    <row r="332" spans="1:9" x14ac:dyDescent="0.3">
      <c r="A332">
        <v>47</v>
      </c>
      <c r="B332">
        <v>9</v>
      </c>
      <c r="C332" s="4">
        <v>76.5</v>
      </c>
      <c r="D332" t="s">
        <v>11</v>
      </c>
      <c r="E332" t="s">
        <v>9</v>
      </c>
      <c r="F332">
        <v>2025</v>
      </c>
      <c r="G332" s="4">
        <v>24.51923076923077</v>
      </c>
      <c r="H332">
        <v>205.5</v>
      </c>
      <c r="I332">
        <f t="shared" si="5"/>
        <v>0</v>
      </c>
    </row>
    <row r="333" spans="1:9" x14ac:dyDescent="0.3">
      <c r="A333">
        <v>48</v>
      </c>
      <c r="B333">
        <v>9</v>
      </c>
      <c r="C333" s="4">
        <v>57</v>
      </c>
      <c r="D333" t="s">
        <v>11</v>
      </c>
      <c r="E333" t="s">
        <v>9</v>
      </c>
      <c r="F333">
        <v>2025</v>
      </c>
      <c r="G333" s="4">
        <v>18.26923076923077</v>
      </c>
      <c r="H333">
        <v>205.5</v>
      </c>
      <c r="I333">
        <f t="shared" si="5"/>
        <v>0</v>
      </c>
    </row>
    <row r="334" spans="1:9" x14ac:dyDescent="0.3">
      <c r="A334">
        <v>49</v>
      </c>
      <c r="B334">
        <v>9</v>
      </c>
      <c r="C334" s="4">
        <v>0</v>
      </c>
      <c r="D334" t="s">
        <v>11</v>
      </c>
      <c r="E334" t="s">
        <v>9</v>
      </c>
      <c r="F334">
        <v>2025</v>
      </c>
      <c r="G334" s="4">
        <v>0</v>
      </c>
      <c r="H334">
        <v>205.5</v>
      </c>
      <c r="I334">
        <f t="shared" si="5"/>
        <v>0</v>
      </c>
    </row>
    <row r="335" spans="1:9" x14ac:dyDescent="0.3">
      <c r="A335">
        <v>1</v>
      </c>
      <c r="B335">
        <v>10</v>
      </c>
      <c r="C335" s="4">
        <v>161.5</v>
      </c>
      <c r="D335" t="s">
        <v>8</v>
      </c>
      <c r="E335" t="s">
        <v>9</v>
      </c>
      <c r="F335">
        <v>2025</v>
      </c>
      <c r="G335" s="4">
        <v>51.762820512820518</v>
      </c>
      <c r="H335">
        <v>210</v>
      </c>
      <c r="I335">
        <f t="shared" si="5"/>
        <v>0</v>
      </c>
    </row>
    <row r="336" spans="1:9" x14ac:dyDescent="0.3">
      <c r="A336">
        <v>2</v>
      </c>
      <c r="B336">
        <v>10</v>
      </c>
      <c r="C336" s="4">
        <v>156</v>
      </c>
      <c r="D336" t="s">
        <v>8</v>
      </c>
      <c r="E336" t="s">
        <v>9</v>
      </c>
      <c r="F336">
        <v>2025</v>
      </c>
      <c r="G336" s="4">
        <v>50</v>
      </c>
      <c r="H336">
        <v>210</v>
      </c>
      <c r="I336">
        <f t="shared" si="5"/>
        <v>0</v>
      </c>
    </row>
    <row r="337" spans="1:9" x14ac:dyDescent="0.3">
      <c r="A337">
        <v>3</v>
      </c>
      <c r="B337">
        <v>10</v>
      </c>
      <c r="C337" s="4">
        <v>152.5</v>
      </c>
      <c r="D337" t="s">
        <v>8</v>
      </c>
      <c r="E337" t="s">
        <v>9</v>
      </c>
      <c r="F337">
        <v>2025</v>
      </c>
      <c r="G337" s="4">
        <v>48.878205128205117</v>
      </c>
      <c r="H337">
        <v>210</v>
      </c>
      <c r="I337">
        <f t="shared" si="5"/>
        <v>0</v>
      </c>
    </row>
    <row r="338" spans="1:9" x14ac:dyDescent="0.3">
      <c r="A338">
        <v>4</v>
      </c>
      <c r="B338">
        <v>10</v>
      </c>
      <c r="C338" s="4">
        <v>145.5</v>
      </c>
      <c r="D338" t="s">
        <v>12</v>
      </c>
      <c r="E338" t="s">
        <v>9</v>
      </c>
      <c r="F338">
        <v>2025</v>
      </c>
      <c r="G338" s="4">
        <v>46.634615384615387</v>
      </c>
      <c r="H338">
        <v>210</v>
      </c>
      <c r="I338">
        <f t="shared" si="5"/>
        <v>0</v>
      </c>
    </row>
    <row r="339" spans="1:9" x14ac:dyDescent="0.3">
      <c r="A339">
        <v>5</v>
      </c>
      <c r="B339">
        <v>10</v>
      </c>
      <c r="C339" s="4">
        <v>141.5</v>
      </c>
      <c r="D339" t="s">
        <v>12</v>
      </c>
      <c r="E339" t="s">
        <v>9</v>
      </c>
      <c r="F339">
        <v>2025</v>
      </c>
      <c r="G339" s="4">
        <v>45.352564102564102</v>
      </c>
      <c r="H339">
        <v>210</v>
      </c>
      <c r="I339">
        <f t="shared" si="5"/>
        <v>0</v>
      </c>
    </row>
    <row r="340" spans="1:9" x14ac:dyDescent="0.3">
      <c r="A340">
        <v>6</v>
      </c>
      <c r="B340">
        <v>10</v>
      </c>
      <c r="C340" s="4">
        <v>133</v>
      </c>
      <c r="D340" t="s">
        <v>12</v>
      </c>
      <c r="E340" t="s">
        <v>9</v>
      </c>
      <c r="F340">
        <v>2025</v>
      </c>
      <c r="G340" s="4">
        <v>42.628205128205117</v>
      </c>
      <c r="H340">
        <v>210</v>
      </c>
      <c r="I340">
        <f t="shared" si="5"/>
        <v>0</v>
      </c>
    </row>
    <row r="341" spans="1:9" x14ac:dyDescent="0.3">
      <c r="A341">
        <v>7</v>
      </c>
      <c r="B341">
        <v>10</v>
      </c>
      <c r="C341" s="4">
        <v>129.5</v>
      </c>
      <c r="D341" t="s">
        <v>12</v>
      </c>
      <c r="E341" t="s">
        <v>9</v>
      </c>
      <c r="F341">
        <v>2025</v>
      </c>
      <c r="G341" s="4">
        <v>41.506410256410263</v>
      </c>
      <c r="H341">
        <v>210</v>
      </c>
      <c r="I341">
        <f t="shared" si="5"/>
        <v>0</v>
      </c>
    </row>
    <row r="342" spans="1:9" x14ac:dyDescent="0.3">
      <c r="A342">
        <v>8</v>
      </c>
      <c r="B342">
        <v>10</v>
      </c>
      <c r="C342" s="4">
        <v>129</v>
      </c>
      <c r="D342" t="s">
        <v>12</v>
      </c>
      <c r="E342" t="s">
        <v>9</v>
      </c>
      <c r="F342">
        <v>2025</v>
      </c>
      <c r="G342" s="4">
        <v>41.346153846153847</v>
      </c>
      <c r="H342">
        <v>210</v>
      </c>
      <c r="I342">
        <f t="shared" si="5"/>
        <v>0</v>
      </c>
    </row>
    <row r="343" spans="1:9" x14ac:dyDescent="0.3">
      <c r="A343">
        <v>9</v>
      </c>
      <c r="B343">
        <v>10</v>
      </c>
      <c r="C343" s="4">
        <v>126</v>
      </c>
      <c r="D343" t="s">
        <v>12</v>
      </c>
      <c r="E343" t="s">
        <v>9</v>
      </c>
      <c r="F343">
        <v>2025</v>
      </c>
      <c r="G343" s="4">
        <v>40.384615384615387</v>
      </c>
      <c r="H343">
        <v>210</v>
      </c>
      <c r="I343">
        <f t="shared" si="5"/>
        <v>0</v>
      </c>
    </row>
    <row r="344" spans="1:9" x14ac:dyDescent="0.3">
      <c r="A344">
        <v>10</v>
      </c>
      <c r="B344">
        <v>10</v>
      </c>
      <c r="C344" s="4">
        <v>123.5</v>
      </c>
      <c r="D344" t="s">
        <v>12</v>
      </c>
      <c r="E344" t="s">
        <v>9</v>
      </c>
      <c r="F344">
        <v>2025</v>
      </c>
      <c r="G344" s="4">
        <v>39.583333333333329</v>
      </c>
      <c r="H344">
        <v>210</v>
      </c>
      <c r="I344">
        <f t="shared" si="5"/>
        <v>0</v>
      </c>
    </row>
    <row r="345" spans="1:9" x14ac:dyDescent="0.3">
      <c r="A345">
        <v>11</v>
      </c>
      <c r="B345">
        <v>10</v>
      </c>
      <c r="C345" s="4">
        <v>120.5</v>
      </c>
      <c r="D345" t="s">
        <v>12</v>
      </c>
      <c r="E345" t="s">
        <v>9</v>
      </c>
      <c r="F345">
        <v>2025</v>
      </c>
      <c r="G345" s="4">
        <v>38.621794871794883</v>
      </c>
      <c r="H345">
        <v>210</v>
      </c>
      <c r="I345">
        <f t="shared" si="5"/>
        <v>0</v>
      </c>
    </row>
    <row r="346" spans="1:9" x14ac:dyDescent="0.3">
      <c r="A346">
        <v>12</v>
      </c>
      <c r="B346">
        <v>10</v>
      </c>
      <c r="C346" s="4">
        <v>120</v>
      </c>
      <c r="D346" t="s">
        <v>12</v>
      </c>
      <c r="E346" t="s">
        <v>9</v>
      </c>
      <c r="F346">
        <v>2025</v>
      </c>
      <c r="G346" s="4">
        <v>38.461538461538467</v>
      </c>
      <c r="H346">
        <v>210</v>
      </c>
      <c r="I346">
        <f t="shared" si="5"/>
        <v>0</v>
      </c>
    </row>
    <row r="347" spans="1:9" x14ac:dyDescent="0.3">
      <c r="A347">
        <v>13</v>
      </c>
      <c r="B347">
        <v>10</v>
      </c>
      <c r="C347" s="4">
        <v>119.5</v>
      </c>
      <c r="D347" t="s">
        <v>12</v>
      </c>
      <c r="E347" t="s">
        <v>9</v>
      </c>
      <c r="F347">
        <v>2025</v>
      </c>
      <c r="G347" s="4">
        <v>38.301282051282051</v>
      </c>
      <c r="H347">
        <v>210</v>
      </c>
      <c r="I347">
        <f t="shared" si="5"/>
        <v>0</v>
      </c>
    </row>
    <row r="348" spans="1:9" x14ac:dyDescent="0.3">
      <c r="A348">
        <v>14</v>
      </c>
      <c r="B348">
        <v>10</v>
      </c>
      <c r="C348" s="4">
        <v>117.5</v>
      </c>
      <c r="D348" t="s">
        <v>12</v>
      </c>
      <c r="E348" t="s">
        <v>9</v>
      </c>
      <c r="F348">
        <v>2025</v>
      </c>
      <c r="G348" s="4">
        <v>37.660256410256409</v>
      </c>
      <c r="H348">
        <v>210</v>
      </c>
      <c r="I348">
        <f t="shared" si="5"/>
        <v>0</v>
      </c>
    </row>
    <row r="349" spans="1:9" x14ac:dyDescent="0.3">
      <c r="A349">
        <v>15</v>
      </c>
      <c r="B349">
        <v>10</v>
      </c>
      <c r="C349" s="4">
        <v>116</v>
      </c>
      <c r="D349" t="s">
        <v>12</v>
      </c>
      <c r="E349" t="s">
        <v>9</v>
      </c>
      <c r="F349">
        <v>2025</v>
      </c>
      <c r="G349" s="4">
        <v>37.179487179487182</v>
      </c>
      <c r="H349">
        <v>210</v>
      </c>
      <c r="I349">
        <f t="shared" si="5"/>
        <v>0</v>
      </c>
    </row>
    <row r="350" spans="1:9" x14ac:dyDescent="0.3">
      <c r="A350">
        <v>16</v>
      </c>
      <c r="B350">
        <v>10</v>
      </c>
      <c r="C350" s="4">
        <v>115</v>
      </c>
      <c r="D350" t="s">
        <v>11</v>
      </c>
      <c r="E350" t="s">
        <v>9</v>
      </c>
      <c r="F350">
        <v>2025</v>
      </c>
      <c r="G350" s="4">
        <v>36.858974358974358</v>
      </c>
      <c r="H350">
        <v>210</v>
      </c>
      <c r="I350">
        <f t="shared" si="5"/>
        <v>0</v>
      </c>
    </row>
    <row r="351" spans="1:9" x14ac:dyDescent="0.3">
      <c r="A351">
        <v>17</v>
      </c>
      <c r="B351">
        <v>10</v>
      </c>
      <c r="C351" s="4">
        <v>115</v>
      </c>
      <c r="D351" t="s">
        <v>11</v>
      </c>
      <c r="E351" t="s">
        <v>9</v>
      </c>
      <c r="F351">
        <v>2025</v>
      </c>
      <c r="G351" s="4">
        <v>36.858974358974358</v>
      </c>
      <c r="H351">
        <v>210</v>
      </c>
      <c r="I351">
        <f t="shared" si="5"/>
        <v>0</v>
      </c>
    </row>
    <row r="352" spans="1:9" x14ac:dyDescent="0.3">
      <c r="A352">
        <v>18</v>
      </c>
      <c r="B352">
        <v>10</v>
      </c>
      <c r="C352" s="4">
        <v>109</v>
      </c>
      <c r="D352" t="s">
        <v>11</v>
      </c>
      <c r="E352" t="s">
        <v>9</v>
      </c>
      <c r="F352">
        <v>2025</v>
      </c>
      <c r="G352" s="4">
        <v>34.935897435897431</v>
      </c>
      <c r="H352">
        <v>210</v>
      </c>
      <c r="I352">
        <f t="shared" si="5"/>
        <v>0</v>
      </c>
    </row>
    <row r="353" spans="1:9" x14ac:dyDescent="0.3">
      <c r="A353">
        <v>19</v>
      </c>
      <c r="B353">
        <v>10</v>
      </c>
      <c r="C353" s="4">
        <v>109</v>
      </c>
      <c r="D353" t="s">
        <v>11</v>
      </c>
      <c r="E353" t="s">
        <v>9</v>
      </c>
      <c r="F353">
        <v>2025</v>
      </c>
      <c r="G353" s="4">
        <v>34.935897435897431</v>
      </c>
      <c r="H353">
        <v>210</v>
      </c>
      <c r="I353">
        <f t="shared" si="5"/>
        <v>0</v>
      </c>
    </row>
    <row r="354" spans="1:9" x14ac:dyDescent="0.3">
      <c r="A354">
        <v>20</v>
      </c>
      <c r="B354">
        <v>10</v>
      </c>
      <c r="C354" s="4">
        <v>107</v>
      </c>
      <c r="D354" t="s">
        <v>11</v>
      </c>
      <c r="E354" t="s">
        <v>9</v>
      </c>
      <c r="F354">
        <v>2025</v>
      </c>
      <c r="G354" s="4">
        <v>34.294871794871803</v>
      </c>
      <c r="H354">
        <v>210</v>
      </c>
      <c r="I354">
        <f t="shared" si="5"/>
        <v>0</v>
      </c>
    </row>
    <row r="355" spans="1:9" x14ac:dyDescent="0.3">
      <c r="A355">
        <v>21</v>
      </c>
      <c r="B355">
        <v>10</v>
      </c>
      <c r="C355" s="4">
        <v>106.5</v>
      </c>
      <c r="D355" t="s">
        <v>11</v>
      </c>
      <c r="E355" t="s">
        <v>9</v>
      </c>
      <c r="F355">
        <v>2025</v>
      </c>
      <c r="G355" s="4">
        <v>34.134615384615387</v>
      </c>
      <c r="H355">
        <v>210</v>
      </c>
      <c r="I355">
        <f t="shared" si="5"/>
        <v>0</v>
      </c>
    </row>
    <row r="356" spans="1:9" x14ac:dyDescent="0.3">
      <c r="A356">
        <v>22</v>
      </c>
      <c r="B356">
        <v>10</v>
      </c>
      <c r="C356" s="4">
        <v>101</v>
      </c>
      <c r="D356" t="s">
        <v>11</v>
      </c>
      <c r="E356" t="s">
        <v>9</v>
      </c>
      <c r="F356">
        <v>2025</v>
      </c>
      <c r="G356" s="4">
        <v>32.371794871794883</v>
      </c>
      <c r="H356">
        <v>210</v>
      </c>
      <c r="I356">
        <f t="shared" si="5"/>
        <v>0</v>
      </c>
    </row>
    <row r="357" spans="1:9" x14ac:dyDescent="0.3">
      <c r="A357">
        <v>23</v>
      </c>
      <c r="B357">
        <v>10</v>
      </c>
      <c r="C357" s="4">
        <v>96.5</v>
      </c>
      <c r="D357" t="s">
        <v>11</v>
      </c>
      <c r="E357" t="s">
        <v>9</v>
      </c>
      <c r="F357">
        <v>2025</v>
      </c>
      <c r="G357" s="4">
        <v>30.929487179487179</v>
      </c>
      <c r="H357">
        <v>210</v>
      </c>
      <c r="I357">
        <f t="shared" si="5"/>
        <v>0</v>
      </c>
    </row>
    <row r="358" spans="1:9" x14ac:dyDescent="0.3">
      <c r="A358">
        <v>24</v>
      </c>
      <c r="B358">
        <v>10</v>
      </c>
      <c r="C358" s="4">
        <v>92.5</v>
      </c>
      <c r="D358" t="s">
        <v>11</v>
      </c>
      <c r="E358" t="s">
        <v>9</v>
      </c>
      <c r="F358">
        <v>2025</v>
      </c>
      <c r="G358" s="4">
        <v>29.647435897435901</v>
      </c>
      <c r="H358">
        <v>210</v>
      </c>
      <c r="I358">
        <f t="shared" si="5"/>
        <v>0</v>
      </c>
    </row>
    <row r="359" spans="1:9" x14ac:dyDescent="0.3">
      <c r="A359">
        <v>25</v>
      </c>
      <c r="B359">
        <v>10</v>
      </c>
      <c r="C359" s="4">
        <v>92.5</v>
      </c>
      <c r="D359" t="s">
        <v>11</v>
      </c>
      <c r="E359" t="s">
        <v>9</v>
      </c>
      <c r="F359">
        <v>2025</v>
      </c>
      <c r="G359" s="4">
        <v>29.647435897435901</v>
      </c>
      <c r="H359">
        <v>210</v>
      </c>
      <c r="I359">
        <f t="shared" si="5"/>
        <v>0</v>
      </c>
    </row>
    <row r="360" spans="1:9" x14ac:dyDescent="0.3">
      <c r="A360">
        <v>26</v>
      </c>
      <c r="B360">
        <v>10</v>
      </c>
      <c r="C360" s="4">
        <v>89.5</v>
      </c>
      <c r="D360" t="s">
        <v>11</v>
      </c>
      <c r="E360" t="s">
        <v>9</v>
      </c>
      <c r="F360">
        <v>2025</v>
      </c>
      <c r="G360" s="4">
        <v>28.685897435897431</v>
      </c>
      <c r="H360">
        <v>210</v>
      </c>
      <c r="I360">
        <f t="shared" si="5"/>
        <v>0</v>
      </c>
    </row>
    <row r="361" spans="1:9" x14ac:dyDescent="0.3">
      <c r="A361">
        <v>27</v>
      </c>
      <c r="B361">
        <v>10</v>
      </c>
      <c r="C361" s="4">
        <v>87</v>
      </c>
      <c r="D361" t="s">
        <v>11</v>
      </c>
      <c r="E361" t="s">
        <v>9</v>
      </c>
      <c r="F361">
        <v>2025</v>
      </c>
      <c r="G361" s="4">
        <v>27.88461538461539</v>
      </c>
      <c r="H361">
        <v>210</v>
      </c>
      <c r="I361">
        <f t="shared" si="5"/>
        <v>0</v>
      </c>
    </row>
    <row r="362" spans="1:9" x14ac:dyDescent="0.3">
      <c r="A362">
        <v>28</v>
      </c>
      <c r="B362">
        <v>10</v>
      </c>
      <c r="C362" s="4">
        <v>85</v>
      </c>
      <c r="D362" t="s">
        <v>11</v>
      </c>
      <c r="E362" t="s">
        <v>9</v>
      </c>
      <c r="F362">
        <v>2025</v>
      </c>
      <c r="G362" s="4">
        <v>27.243589743589741</v>
      </c>
      <c r="H362">
        <v>210</v>
      </c>
      <c r="I362">
        <f t="shared" si="5"/>
        <v>0</v>
      </c>
    </row>
    <row r="363" spans="1:9" x14ac:dyDescent="0.3">
      <c r="A363">
        <v>29</v>
      </c>
      <c r="B363">
        <v>10</v>
      </c>
      <c r="C363" s="4">
        <v>83.5</v>
      </c>
      <c r="D363" t="s">
        <v>11</v>
      </c>
      <c r="E363" t="s">
        <v>9</v>
      </c>
      <c r="F363">
        <v>2025</v>
      </c>
      <c r="G363" s="4">
        <v>26.762820512820511</v>
      </c>
      <c r="H363">
        <v>210</v>
      </c>
      <c r="I363">
        <f t="shared" si="5"/>
        <v>0</v>
      </c>
    </row>
    <row r="364" spans="1:9" x14ac:dyDescent="0.3">
      <c r="A364">
        <v>30</v>
      </c>
      <c r="B364">
        <v>10</v>
      </c>
      <c r="C364" s="4">
        <v>81.5</v>
      </c>
      <c r="D364" t="s">
        <v>11</v>
      </c>
      <c r="E364" t="s">
        <v>9</v>
      </c>
      <c r="F364">
        <v>2025</v>
      </c>
      <c r="G364" s="4">
        <v>26.121794871794869</v>
      </c>
      <c r="H364">
        <v>210</v>
      </c>
      <c r="I364">
        <f t="shared" si="5"/>
        <v>0</v>
      </c>
    </row>
    <row r="365" spans="1:9" x14ac:dyDescent="0.3">
      <c r="A365">
        <v>31</v>
      </c>
      <c r="B365">
        <v>10</v>
      </c>
      <c r="C365" s="4">
        <v>78.5</v>
      </c>
      <c r="D365" t="s">
        <v>11</v>
      </c>
      <c r="E365" t="s">
        <v>9</v>
      </c>
      <c r="F365">
        <v>2025</v>
      </c>
      <c r="G365" s="4">
        <v>25.160256410256409</v>
      </c>
      <c r="H365">
        <v>210</v>
      </c>
      <c r="I365">
        <f t="shared" si="5"/>
        <v>0</v>
      </c>
    </row>
    <row r="366" spans="1:9" x14ac:dyDescent="0.3">
      <c r="A366">
        <v>32</v>
      </c>
      <c r="B366">
        <v>10</v>
      </c>
      <c r="C366" s="4">
        <v>76.5</v>
      </c>
      <c r="D366" t="s">
        <v>11</v>
      </c>
      <c r="E366" t="s">
        <v>9</v>
      </c>
      <c r="F366">
        <v>2025</v>
      </c>
      <c r="G366" s="4">
        <v>24.51923076923077</v>
      </c>
      <c r="H366">
        <v>210</v>
      </c>
      <c r="I366">
        <f t="shared" si="5"/>
        <v>0</v>
      </c>
    </row>
    <row r="367" spans="1:9" x14ac:dyDescent="0.3">
      <c r="A367">
        <v>33</v>
      </c>
      <c r="B367">
        <v>10</v>
      </c>
      <c r="C367" s="4">
        <v>74.3</v>
      </c>
      <c r="D367" t="s">
        <v>11</v>
      </c>
      <c r="E367" t="s">
        <v>9</v>
      </c>
      <c r="F367">
        <v>2025</v>
      </c>
      <c r="G367" s="4">
        <v>23.814102564102559</v>
      </c>
      <c r="H367">
        <v>210</v>
      </c>
      <c r="I367">
        <f t="shared" si="5"/>
        <v>0</v>
      </c>
    </row>
    <row r="368" spans="1:9" x14ac:dyDescent="0.3">
      <c r="A368">
        <v>34</v>
      </c>
      <c r="B368">
        <v>10</v>
      </c>
      <c r="C368" s="4">
        <v>71</v>
      </c>
      <c r="D368" t="s">
        <v>11</v>
      </c>
      <c r="E368" t="s">
        <v>9</v>
      </c>
      <c r="F368">
        <v>2025</v>
      </c>
      <c r="G368" s="4">
        <v>22.756410256410259</v>
      </c>
      <c r="H368">
        <v>210</v>
      </c>
      <c r="I368">
        <f t="shared" si="5"/>
        <v>0</v>
      </c>
    </row>
    <row r="369" spans="1:9" x14ac:dyDescent="0.3">
      <c r="A369">
        <v>35</v>
      </c>
      <c r="B369">
        <v>10</v>
      </c>
      <c r="C369" s="4">
        <v>67</v>
      </c>
      <c r="D369" t="s">
        <v>11</v>
      </c>
      <c r="E369" t="s">
        <v>9</v>
      </c>
      <c r="F369">
        <v>2025</v>
      </c>
      <c r="G369" s="4">
        <v>21.474358974358971</v>
      </c>
      <c r="H369">
        <v>210</v>
      </c>
      <c r="I369">
        <f t="shared" si="5"/>
        <v>0</v>
      </c>
    </row>
    <row r="370" spans="1:9" x14ac:dyDescent="0.3">
      <c r="A370">
        <v>1</v>
      </c>
      <c r="B370">
        <v>11</v>
      </c>
      <c r="C370" s="4">
        <v>186.2</v>
      </c>
      <c r="D370" t="s">
        <v>8</v>
      </c>
      <c r="E370" t="s">
        <v>9</v>
      </c>
      <c r="F370">
        <v>2025</v>
      </c>
      <c r="G370" s="4">
        <v>59.679487179487182</v>
      </c>
      <c r="H370">
        <v>181</v>
      </c>
      <c r="I370">
        <f t="shared" si="5"/>
        <v>1</v>
      </c>
    </row>
    <row r="371" spans="1:9" x14ac:dyDescent="0.3">
      <c r="A371">
        <v>2</v>
      </c>
      <c r="B371">
        <v>11</v>
      </c>
      <c r="C371" s="4">
        <v>163.69999999999999</v>
      </c>
      <c r="D371" t="s">
        <v>8</v>
      </c>
      <c r="E371" t="s">
        <v>9</v>
      </c>
      <c r="F371">
        <v>2025</v>
      </c>
      <c r="G371" s="4">
        <v>52.467948717948708</v>
      </c>
      <c r="H371">
        <v>181</v>
      </c>
      <c r="I371">
        <f t="shared" si="5"/>
        <v>0</v>
      </c>
    </row>
    <row r="372" spans="1:9" x14ac:dyDescent="0.3">
      <c r="A372">
        <v>3</v>
      </c>
      <c r="B372">
        <v>11</v>
      </c>
      <c r="C372" s="4">
        <v>154.5</v>
      </c>
      <c r="D372" t="s">
        <v>8</v>
      </c>
      <c r="E372" t="s">
        <v>9</v>
      </c>
      <c r="F372">
        <v>2025</v>
      </c>
      <c r="G372" s="4">
        <v>49.519230769230766</v>
      </c>
      <c r="H372">
        <v>181</v>
      </c>
      <c r="I372">
        <f t="shared" si="5"/>
        <v>0</v>
      </c>
    </row>
    <row r="373" spans="1:9" x14ac:dyDescent="0.3">
      <c r="A373">
        <v>4</v>
      </c>
      <c r="B373">
        <v>11</v>
      </c>
      <c r="C373" s="4">
        <v>152.9</v>
      </c>
      <c r="D373" t="s">
        <v>12</v>
      </c>
      <c r="E373" t="s">
        <v>9</v>
      </c>
      <c r="F373">
        <v>2025</v>
      </c>
      <c r="G373" s="4">
        <v>49.006410256410263</v>
      </c>
      <c r="H373">
        <v>181</v>
      </c>
      <c r="I373">
        <f t="shared" si="5"/>
        <v>0</v>
      </c>
    </row>
    <row r="374" spans="1:9" x14ac:dyDescent="0.3">
      <c r="A374">
        <v>5</v>
      </c>
      <c r="B374">
        <v>11</v>
      </c>
      <c r="C374" s="4">
        <v>150.5</v>
      </c>
      <c r="D374" t="s">
        <v>12</v>
      </c>
      <c r="E374" t="s">
        <v>9</v>
      </c>
      <c r="F374">
        <v>2025</v>
      </c>
      <c r="G374" s="4">
        <v>48.237179487179489</v>
      </c>
      <c r="H374">
        <v>181</v>
      </c>
      <c r="I374">
        <f t="shared" si="5"/>
        <v>0</v>
      </c>
    </row>
    <row r="375" spans="1:9" x14ac:dyDescent="0.3">
      <c r="A375">
        <v>6</v>
      </c>
      <c r="B375">
        <v>11</v>
      </c>
      <c r="C375" s="4">
        <v>149.6</v>
      </c>
      <c r="D375" t="s">
        <v>12</v>
      </c>
      <c r="E375" t="s">
        <v>9</v>
      </c>
      <c r="F375">
        <v>2025</v>
      </c>
      <c r="G375" s="4">
        <v>47.948717948717942</v>
      </c>
      <c r="H375">
        <v>181</v>
      </c>
      <c r="I375">
        <f t="shared" si="5"/>
        <v>0</v>
      </c>
    </row>
    <row r="376" spans="1:9" x14ac:dyDescent="0.3">
      <c r="A376">
        <v>7</v>
      </c>
      <c r="B376">
        <v>11</v>
      </c>
      <c r="C376" s="4">
        <v>149.5</v>
      </c>
      <c r="D376" t="s">
        <v>12</v>
      </c>
      <c r="E376" t="s">
        <v>9</v>
      </c>
      <c r="F376">
        <v>2025</v>
      </c>
      <c r="G376" s="4">
        <v>47.916666666666671</v>
      </c>
      <c r="H376">
        <v>181</v>
      </c>
      <c r="I376">
        <f t="shared" si="5"/>
        <v>0</v>
      </c>
    </row>
    <row r="377" spans="1:9" x14ac:dyDescent="0.3">
      <c r="A377">
        <v>8</v>
      </c>
      <c r="B377">
        <v>11</v>
      </c>
      <c r="C377" s="4">
        <v>148.6</v>
      </c>
      <c r="D377" t="s">
        <v>12</v>
      </c>
      <c r="E377" t="s">
        <v>9</v>
      </c>
      <c r="F377">
        <v>2025</v>
      </c>
      <c r="G377" s="4">
        <v>47.628205128205117</v>
      </c>
      <c r="H377">
        <v>181</v>
      </c>
      <c r="I377">
        <f t="shared" si="5"/>
        <v>0</v>
      </c>
    </row>
    <row r="378" spans="1:9" x14ac:dyDescent="0.3">
      <c r="A378">
        <v>9</v>
      </c>
      <c r="B378">
        <v>11</v>
      </c>
      <c r="C378" s="4">
        <v>144.5</v>
      </c>
      <c r="D378" t="s">
        <v>12</v>
      </c>
      <c r="E378" t="s">
        <v>9</v>
      </c>
      <c r="F378">
        <v>2025</v>
      </c>
      <c r="G378" s="4">
        <v>46.314102564102569</v>
      </c>
      <c r="H378">
        <v>181</v>
      </c>
      <c r="I378">
        <f t="shared" si="5"/>
        <v>0</v>
      </c>
    </row>
    <row r="379" spans="1:9" x14ac:dyDescent="0.3">
      <c r="A379">
        <v>10</v>
      </c>
      <c r="B379">
        <v>11</v>
      </c>
      <c r="C379" s="4">
        <v>140</v>
      </c>
      <c r="D379" t="s">
        <v>12</v>
      </c>
      <c r="E379" t="s">
        <v>9</v>
      </c>
      <c r="F379">
        <v>2025</v>
      </c>
      <c r="G379" s="4">
        <v>44.871794871794883</v>
      </c>
      <c r="H379">
        <v>181</v>
      </c>
      <c r="I379">
        <f t="shared" si="5"/>
        <v>0</v>
      </c>
    </row>
    <row r="380" spans="1:9" x14ac:dyDescent="0.3">
      <c r="A380">
        <v>11</v>
      </c>
      <c r="B380">
        <v>11</v>
      </c>
      <c r="C380" s="4">
        <v>137.19999999999999</v>
      </c>
      <c r="D380" t="s">
        <v>12</v>
      </c>
      <c r="E380" t="s">
        <v>9</v>
      </c>
      <c r="F380">
        <v>2025</v>
      </c>
      <c r="G380" s="4">
        <v>43.974358974358971</v>
      </c>
      <c r="H380">
        <v>181</v>
      </c>
      <c r="I380">
        <f t="shared" si="5"/>
        <v>0</v>
      </c>
    </row>
    <row r="381" spans="1:9" x14ac:dyDescent="0.3">
      <c r="A381">
        <v>12</v>
      </c>
      <c r="B381">
        <v>11</v>
      </c>
      <c r="C381" s="4">
        <v>134</v>
      </c>
      <c r="D381" t="s">
        <v>12</v>
      </c>
      <c r="E381" t="s">
        <v>9</v>
      </c>
      <c r="F381">
        <v>2025</v>
      </c>
      <c r="G381" s="4">
        <v>42.948717948717949</v>
      </c>
      <c r="H381">
        <v>181</v>
      </c>
      <c r="I381">
        <f t="shared" si="5"/>
        <v>0</v>
      </c>
    </row>
    <row r="382" spans="1:9" x14ac:dyDescent="0.3">
      <c r="A382">
        <v>13</v>
      </c>
      <c r="B382">
        <v>11</v>
      </c>
      <c r="C382" s="4">
        <v>133.80000000000001</v>
      </c>
      <c r="D382" t="s">
        <v>12</v>
      </c>
      <c r="E382" t="s">
        <v>9</v>
      </c>
      <c r="F382">
        <v>2025</v>
      </c>
      <c r="G382" s="4">
        <v>42.884615384615387</v>
      </c>
      <c r="H382">
        <v>181</v>
      </c>
      <c r="I382">
        <f t="shared" si="5"/>
        <v>0</v>
      </c>
    </row>
    <row r="383" spans="1:9" x14ac:dyDescent="0.3">
      <c r="A383">
        <v>14</v>
      </c>
      <c r="B383">
        <v>11</v>
      </c>
      <c r="C383" s="4">
        <v>132</v>
      </c>
      <c r="D383" t="s">
        <v>12</v>
      </c>
      <c r="E383" t="s">
        <v>9</v>
      </c>
      <c r="F383">
        <v>2025</v>
      </c>
      <c r="G383" s="4">
        <v>42.307692307692307</v>
      </c>
      <c r="H383">
        <v>181</v>
      </c>
      <c r="I383">
        <f t="shared" si="5"/>
        <v>0</v>
      </c>
    </row>
    <row r="384" spans="1:9" x14ac:dyDescent="0.3">
      <c r="A384">
        <v>15</v>
      </c>
      <c r="B384">
        <v>11</v>
      </c>
      <c r="C384" s="4">
        <v>131.5</v>
      </c>
      <c r="D384" t="s">
        <v>12</v>
      </c>
      <c r="E384" t="s">
        <v>9</v>
      </c>
      <c r="F384">
        <v>2025</v>
      </c>
      <c r="G384" s="4">
        <v>42.147435897435898</v>
      </c>
      <c r="H384">
        <v>181</v>
      </c>
      <c r="I384">
        <f t="shared" si="5"/>
        <v>0</v>
      </c>
    </row>
    <row r="385" spans="1:9" x14ac:dyDescent="0.3">
      <c r="A385">
        <v>16</v>
      </c>
      <c r="B385">
        <v>11</v>
      </c>
      <c r="C385" s="4">
        <v>126</v>
      </c>
      <c r="D385" t="s">
        <v>12</v>
      </c>
      <c r="E385" t="s">
        <v>9</v>
      </c>
      <c r="F385">
        <v>2025</v>
      </c>
      <c r="G385" s="4">
        <v>40.384615384615387</v>
      </c>
      <c r="H385">
        <v>181</v>
      </c>
      <c r="I385">
        <f t="shared" si="5"/>
        <v>0</v>
      </c>
    </row>
    <row r="386" spans="1:9" x14ac:dyDescent="0.3">
      <c r="A386">
        <v>17</v>
      </c>
      <c r="B386">
        <v>11</v>
      </c>
      <c r="C386" s="4">
        <v>121.8</v>
      </c>
      <c r="D386" t="s">
        <v>12</v>
      </c>
      <c r="E386" t="s">
        <v>9</v>
      </c>
      <c r="F386">
        <v>2025</v>
      </c>
      <c r="G386" s="4">
        <v>39.03846153846154</v>
      </c>
      <c r="H386">
        <v>181</v>
      </c>
      <c r="I386">
        <f t="shared" si="5"/>
        <v>0</v>
      </c>
    </row>
    <row r="387" spans="1:9" x14ac:dyDescent="0.3">
      <c r="A387">
        <v>18</v>
      </c>
      <c r="B387">
        <v>11</v>
      </c>
      <c r="C387" s="4">
        <v>118</v>
      </c>
      <c r="D387" t="s">
        <v>11</v>
      </c>
      <c r="E387" t="s">
        <v>9</v>
      </c>
      <c r="F387">
        <v>2025</v>
      </c>
      <c r="G387" s="4">
        <v>37.820512820512818</v>
      </c>
      <c r="H387">
        <v>181</v>
      </c>
      <c r="I387">
        <f t="shared" ref="I387:I450" si="6">IF(C387&gt;=H387,1,0)</f>
        <v>0</v>
      </c>
    </row>
    <row r="388" spans="1:9" x14ac:dyDescent="0.3">
      <c r="A388">
        <v>19</v>
      </c>
      <c r="B388">
        <v>11</v>
      </c>
      <c r="C388" s="4">
        <v>112.9</v>
      </c>
      <c r="D388" t="s">
        <v>11</v>
      </c>
      <c r="E388" t="s">
        <v>9</v>
      </c>
      <c r="F388">
        <v>2025</v>
      </c>
      <c r="G388" s="4">
        <v>36.185897435897438</v>
      </c>
      <c r="H388">
        <v>181</v>
      </c>
      <c r="I388">
        <f t="shared" si="6"/>
        <v>0</v>
      </c>
    </row>
    <row r="389" spans="1:9" x14ac:dyDescent="0.3">
      <c r="A389">
        <v>20</v>
      </c>
      <c r="B389">
        <v>11</v>
      </c>
      <c r="C389" s="4">
        <v>111.6</v>
      </c>
      <c r="D389" t="s">
        <v>11</v>
      </c>
      <c r="E389" t="s">
        <v>9</v>
      </c>
      <c r="F389">
        <v>2025</v>
      </c>
      <c r="G389" s="4">
        <v>35.769230769230766</v>
      </c>
      <c r="H389">
        <v>181</v>
      </c>
      <c r="I389">
        <f t="shared" si="6"/>
        <v>0</v>
      </c>
    </row>
    <row r="390" spans="1:9" x14ac:dyDescent="0.3">
      <c r="A390">
        <v>21</v>
      </c>
      <c r="B390">
        <v>11</v>
      </c>
      <c r="C390" s="4">
        <v>110.5</v>
      </c>
      <c r="D390" t="s">
        <v>11</v>
      </c>
      <c r="E390" t="s">
        <v>9</v>
      </c>
      <c r="F390">
        <v>2025</v>
      </c>
      <c r="G390" s="4">
        <v>35.416666666666671</v>
      </c>
      <c r="H390">
        <v>181</v>
      </c>
      <c r="I390">
        <f t="shared" si="6"/>
        <v>0</v>
      </c>
    </row>
    <row r="391" spans="1:9" x14ac:dyDescent="0.3">
      <c r="A391">
        <v>22</v>
      </c>
      <c r="B391">
        <v>11</v>
      </c>
      <c r="C391" s="4">
        <v>106</v>
      </c>
      <c r="D391" t="s">
        <v>11</v>
      </c>
      <c r="E391" t="s">
        <v>9</v>
      </c>
      <c r="F391">
        <v>2025</v>
      </c>
      <c r="G391" s="4">
        <v>33.974358974358978</v>
      </c>
      <c r="H391">
        <v>181</v>
      </c>
      <c r="I391">
        <f t="shared" si="6"/>
        <v>0</v>
      </c>
    </row>
    <row r="392" spans="1:9" x14ac:dyDescent="0.3">
      <c r="A392">
        <v>23</v>
      </c>
      <c r="B392">
        <v>11</v>
      </c>
      <c r="C392" s="4">
        <v>105.5</v>
      </c>
      <c r="D392" t="s">
        <v>11</v>
      </c>
      <c r="E392" t="s">
        <v>9</v>
      </c>
      <c r="F392">
        <v>2025</v>
      </c>
      <c r="G392" s="4">
        <v>33.814102564102569</v>
      </c>
      <c r="H392">
        <v>181</v>
      </c>
      <c r="I392">
        <f t="shared" si="6"/>
        <v>0</v>
      </c>
    </row>
    <row r="393" spans="1:9" x14ac:dyDescent="0.3">
      <c r="A393">
        <v>24</v>
      </c>
      <c r="B393">
        <v>11</v>
      </c>
      <c r="C393" s="4">
        <v>105.3</v>
      </c>
      <c r="D393" t="s">
        <v>11</v>
      </c>
      <c r="E393" t="s">
        <v>9</v>
      </c>
      <c r="F393">
        <v>2025</v>
      </c>
      <c r="G393" s="4">
        <v>33.75</v>
      </c>
      <c r="H393">
        <v>181</v>
      </c>
      <c r="I393">
        <f t="shared" si="6"/>
        <v>0</v>
      </c>
    </row>
    <row r="394" spans="1:9" x14ac:dyDescent="0.3">
      <c r="A394">
        <v>25</v>
      </c>
      <c r="B394">
        <v>11</v>
      </c>
      <c r="C394" s="4">
        <v>104.5</v>
      </c>
      <c r="D394" t="s">
        <v>11</v>
      </c>
      <c r="E394" t="s">
        <v>9</v>
      </c>
      <c r="F394">
        <v>2025</v>
      </c>
      <c r="G394" s="4">
        <v>33.493589743589737</v>
      </c>
      <c r="H394">
        <v>181</v>
      </c>
      <c r="I394">
        <f t="shared" si="6"/>
        <v>0</v>
      </c>
    </row>
    <row r="395" spans="1:9" x14ac:dyDescent="0.3">
      <c r="A395">
        <v>26</v>
      </c>
      <c r="B395">
        <v>11</v>
      </c>
      <c r="C395" s="4">
        <v>101.5</v>
      </c>
      <c r="D395" t="s">
        <v>11</v>
      </c>
      <c r="E395" t="s">
        <v>9</v>
      </c>
      <c r="F395">
        <v>2025</v>
      </c>
      <c r="G395" s="4">
        <v>32.532051282051277</v>
      </c>
      <c r="H395">
        <v>181</v>
      </c>
      <c r="I395">
        <f t="shared" si="6"/>
        <v>0</v>
      </c>
    </row>
    <row r="396" spans="1:9" x14ac:dyDescent="0.3">
      <c r="A396">
        <v>27</v>
      </c>
      <c r="B396">
        <v>11</v>
      </c>
      <c r="C396" s="4">
        <v>92</v>
      </c>
      <c r="D396" t="s">
        <v>11</v>
      </c>
      <c r="E396" t="s">
        <v>9</v>
      </c>
      <c r="F396">
        <v>2025</v>
      </c>
      <c r="G396" s="4">
        <v>29.487179487179489</v>
      </c>
      <c r="H396">
        <v>181</v>
      </c>
      <c r="I396">
        <f t="shared" si="6"/>
        <v>0</v>
      </c>
    </row>
    <row r="397" spans="1:9" x14ac:dyDescent="0.3">
      <c r="A397">
        <v>28</v>
      </c>
      <c r="B397">
        <v>11</v>
      </c>
      <c r="C397" s="4">
        <v>90.8</v>
      </c>
      <c r="D397" t="s">
        <v>11</v>
      </c>
      <c r="E397" t="s">
        <v>9</v>
      </c>
      <c r="F397">
        <v>2025</v>
      </c>
      <c r="G397" s="4">
        <v>29.102564102564099</v>
      </c>
      <c r="H397">
        <v>181</v>
      </c>
      <c r="I397">
        <f t="shared" si="6"/>
        <v>0</v>
      </c>
    </row>
    <row r="398" spans="1:9" x14ac:dyDescent="0.3">
      <c r="A398">
        <v>29</v>
      </c>
      <c r="B398">
        <v>11</v>
      </c>
      <c r="C398" s="4">
        <v>88.5</v>
      </c>
      <c r="D398" t="s">
        <v>11</v>
      </c>
      <c r="E398" t="s">
        <v>9</v>
      </c>
      <c r="F398">
        <v>2025</v>
      </c>
      <c r="G398" s="4">
        <v>28.36538461538461</v>
      </c>
      <c r="H398">
        <v>181</v>
      </c>
      <c r="I398">
        <f t="shared" si="6"/>
        <v>0</v>
      </c>
    </row>
    <row r="399" spans="1:9" x14ac:dyDescent="0.3">
      <c r="A399">
        <v>30</v>
      </c>
      <c r="B399">
        <v>11</v>
      </c>
      <c r="C399" s="4">
        <v>87.5</v>
      </c>
      <c r="D399" t="s">
        <v>11</v>
      </c>
      <c r="E399" t="s">
        <v>9</v>
      </c>
      <c r="F399">
        <v>2025</v>
      </c>
      <c r="G399" s="4">
        <v>28.044871794871799</v>
      </c>
      <c r="H399">
        <v>181</v>
      </c>
      <c r="I399">
        <f t="shared" si="6"/>
        <v>0</v>
      </c>
    </row>
    <row r="400" spans="1:9" x14ac:dyDescent="0.3">
      <c r="A400">
        <v>31</v>
      </c>
      <c r="B400">
        <v>11</v>
      </c>
      <c r="C400" s="4">
        <v>85.5</v>
      </c>
      <c r="D400" t="s">
        <v>11</v>
      </c>
      <c r="E400" t="s">
        <v>9</v>
      </c>
      <c r="F400">
        <v>2025</v>
      </c>
      <c r="G400" s="4">
        <v>27.40384615384616</v>
      </c>
      <c r="H400">
        <v>181</v>
      </c>
      <c r="I400">
        <f t="shared" si="6"/>
        <v>0</v>
      </c>
    </row>
    <row r="401" spans="1:9" x14ac:dyDescent="0.3">
      <c r="A401">
        <v>32</v>
      </c>
      <c r="B401">
        <v>11</v>
      </c>
      <c r="C401" s="4">
        <v>82</v>
      </c>
      <c r="D401" t="s">
        <v>11</v>
      </c>
      <c r="E401" t="s">
        <v>9</v>
      </c>
      <c r="F401">
        <v>2025</v>
      </c>
      <c r="G401" s="4">
        <v>26.282051282051281</v>
      </c>
      <c r="H401">
        <v>181</v>
      </c>
      <c r="I401">
        <f t="shared" si="6"/>
        <v>0</v>
      </c>
    </row>
    <row r="402" spans="1:9" x14ac:dyDescent="0.3">
      <c r="A402">
        <v>33</v>
      </c>
      <c r="B402">
        <v>11</v>
      </c>
      <c r="C402" s="4">
        <v>81.5</v>
      </c>
      <c r="D402" t="s">
        <v>11</v>
      </c>
      <c r="E402" t="s">
        <v>9</v>
      </c>
      <c r="F402">
        <v>2025</v>
      </c>
      <c r="G402" s="4">
        <v>26.121794871794869</v>
      </c>
      <c r="H402">
        <v>181</v>
      </c>
      <c r="I402">
        <f t="shared" si="6"/>
        <v>0</v>
      </c>
    </row>
    <row r="403" spans="1:9" x14ac:dyDescent="0.3">
      <c r="A403">
        <v>34</v>
      </c>
      <c r="B403">
        <v>11</v>
      </c>
      <c r="C403" s="4">
        <v>81</v>
      </c>
      <c r="D403" t="s">
        <v>11</v>
      </c>
      <c r="E403" t="s">
        <v>9</v>
      </c>
      <c r="F403">
        <v>2025</v>
      </c>
      <c r="G403" s="4">
        <v>25.96153846153846</v>
      </c>
      <c r="H403">
        <v>181</v>
      </c>
      <c r="I403">
        <f t="shared" si="6"/>
        <v>0</v>
      </c>
    </row>
    <row r="404" spans="1:9" x14ac:dyDescent="0.3">
      <c r="A404">
        <v>35</v>
      </c>
      <c r="B404">
        <v>11</v>
      </c>
      <c r="C404" s="4">
        <v>79.5</v>
      </c>
      <c r="D404" t="s">
        <v>11</v>
      </c>
      <c r="E404" t="s">
        <v>9</v>
      </c>
      <c r="F404">
        <v>2025</v>
      </c>
      <c r="G404" s="4">
        <v>25.48076923076923</v>
      </c>
      <c r="H404">
        <v>181</v>
      </c>
      <c r="I404">
        <f t="shared" si="6"/>
        <v>0</v>
      </c>
    </row>
    <row r="405" spans="1:9" x14ac:dyDescent="0.3">
      <c r="A405">
        <v>36</v>
      </c>
      <c r="B405">
        <v>11</v>
      </c>
      <c r="C405" s="4">
        <v>74.599999999999994</v>
      </c>
      <c r="D405" t="s">
        <v>11</v>
      </c>
      <c r="E405" t="s">
        <v>9</v>
      </c>
      <c r="F405">
        <v>2025</v>
      </c>
      <c r="G405" s="4">
        <v>23.910256410256409</v>
      </c>
      <c r="H405">
        <v>181</v>
      </c>
      <c r="I405">
        <f t="shared" si="6"/>
        <v>0</v>
      </c>
    </row>
    <row r="406" spans="1:9" x14ac:dyDescent="0.3">
      <c r="A406">
        <v>37</v>
      </c>
      <c r="B406">
        <v>11</v>
      </c>
      <c r="C406" s="4">
        <v>71</v>
      </c>
      <c r="D406" t="s">
        <v>11</v>
      </c>
      <c r="E406" t="s">
        <v>9</v>
      </c>
      <c r="F406">
        <v>2025</v>
      </c>
      <c r="G406" s="4">
        <v>22.756410256410259</v>
      </c>
      <c r="H406">
        <v>181</v>
      </c>
      <c r="I406">
        <f t="shared" si="6"/>
        <v>0</v>
      </c>
    </row>
    <row r="407" spans="1:9" x14ac:dyDescent="0.3">
      <c r="A407">
        <v>38</v>
      </c>
      <c r="B407">
        <v>11</v>
      </c>
      <c r="C407" s="4">
        <v>69.5</v>
      </c>
      <c r="D407" t="s">
        <v>11</v>
      </c>
      <c r="E407" t="s">
        <v>9</v>
      </c>
      <c r="F407">
        <v>2025</v>
      </c>
      <c r="G407" s="4">
        <v>22.275641025641029</v>
      </c>
      <c r="H407">
        <v>181</v>
      </c>
      <c r="I407">
        <f t="shared" si="6"/>
        <v>0</v>
      </c>
    </row>
    <row r="408" spans="1:9" x14ac:dyDescent="0.3">
      <c r="A408">
        <v>39</v>
      </c>
      <c r="B408">
        <v>11</v>
      </c>
      <c r="C408" s="4">
        <v>63.5</v>
      </c>
      <c r="D408" t="s">
        <v>11</v>
      </c>
      <c r="E408" t="s">
        <v>9</v>
      </c>
      <c r="F408">
        <v>2025</v>
      </c>
      <c r="G408" s="4">
        <v>20.352564102564099</v>
      </c>
      <c r="H408">
        <v>181</v>
      </c>
      <c r="I408">
        <f t="shared" si="6"/>
        <v>0</v>
      </c>
    </row>
    <row r="409" spans="1:9" x14ac:dyDescent="0.3">
      <c r="A409">
        <v>1</v>
      </c>
      <c r="B409">
        <v>9</v>
      </c>
      <c r="C409" s="4">
        <v>95</v>
      </c>
      <c r="D409" t="s">
        <v>8</v>
      </c>
      <c r="E409" t="s">
        <v>13</v>
      </c>
      <c r="F409">
        <v>2022</v>
      </c>
      <c r="G409" s="4">
        <v>95</v>
      </c>
      <c r="H409">
        <v>90</v>
      </c>
      <c r="I409">
        <f t="shared" si="6"/>
        <v>1</v>
      </c>
    </row>
    <row r="410" spans="1:9" x14ac:dyDescent="0.3">
      <c r="A410">
        <v>2</v>
      </c>
      <c r="B410">
        <v>9</v>
      </c>
      <c r="C410" s="4">
        <v>89</v>
      </c>
      <c r="D410" t="s">
        <v>10</v>
      </c>
      <c r="E410" t="s">
        <v>13</v>
      </c>
      <c r="F410">
        <v>2022</v>
      </c>
      <c r="G410" s="4">
        <v>89</v>
      </c>
      <c r="H410">
        <v>90</v>
      </c>
      <c r="I410">
        <f t="shared" si="6"/>
        <v>0</v>
      </c>
    </row>
    <row r="411" spans="1:9" x14ac:dyDescent="0.3">
      <c r="A411">
        <v>3</v>
      </c>
      <c r="B411">
        <v>9</v>
      </c>
      <c r="C411" s="4">
        <v>88</v>
      </c>
      <c r="D411" t="s">
        <v>10</v>
      </c>
      <c r="E411" t="s">
        <v>13</v>
      </c>
      <c r="F411">
        <v>2022</v>
      </c>
      <c r="G411" s="4">
        <v>88</v>
      </c>
      <c r="H411">
        <v>90</v>
      </c>
      <c r="I411">
        <f t="shared" si="6"/>
        <v>0</v>
      </c>
    </row>
    <row r="412" spans="1:9" x14ac:dyDescent="0.3">
      <c r="A412">
        <v>4</v>
      </c>
      <c r="B412">
        <v>9</v>
      </c>
      <c r="C412" s="4">
        <v>87</v>
      </c>
      <c r="D412" t="s">
        <v>10</v>
      </c>
      <c r="E412" t="s">
        <v>13</v>
      </c>
      <c r="F412">
        <v>2022</v>
      </c>
      <c r="G412" s="4">
        <v>87</v>
      </c>
      <c r="H412">
        <v>90</v>
      </c>
      <c r="I412">
        <f t="shared" si="6"/>
        <v>0</v>
      </c>
    </row>
    <row r="413" spans="1:9" x14ac:dyDescent="0.3">
      <c r="A413">
        <v>5</v>
      </c>
      <c r="B413">
        <v>9</v>
      </c>
      <c r="C413" s="4">
        <v>85</v>
      </c>
      <c r="D413" t="s">
        <v>10</v>
      </c>
      <c r="E413" t="s">
        <v>13</v>
      </c>
      <c r="F413">
        <v>2022</v>
      </c>
      <c r="G413" s="4">
        <v>85</v>
      </c>
      <c r="H413">
        <v>90</v>
      </c>
      <c r="I413">
        <f t="shared" si="6"/>
        <v>0</v>
      </c>
    </row>
    <row r="414" spans="1:9" x14ac:dyDescent="0.3">
      <c r="A414">
        <v>6</v>
      </c>
      <c r="B414">
        <v>9</v>
      </c>
      <c r="C414" s="4">
        <v>83</v>
      </c>
      <c r="D414" t="s">
        <v>10</v>
      </c>
      <c r="E414" t="s">
        <v>13</v>
      </c>
      <c r="F414">
        <v>2022</v>
      </c>
      <c r="G414" s="4">
        <v>83</v>
      </c>
      <c r="H414">
        <v>90</v>
      </c>
      <c r="I414">
        <f t="shared" si="6"/>
        <v>0</v>
      </c>
    </row>
    <row r="415" spans="1:9" x14ac:dyDescent="0.3">
      <c r="A415">
        <v>7</v>
      </c>
      <c r="B415">
        <v>9</v>
      </c>
      <c r="C415" s="4">
        <v>83</v>
      </c>
      <c r="D415" t="s">
        <v>10</v>
      </c>
      <c r="E415" t="s">
        <v>13</v>
      </c>
      <c r="F415">
        <v>2022</v>
      </c>
      <c r="G415" s="4">
        <v>83</v>
      </c>
      <c r="H415">
        <v>90</v>
      </c>
      <c r="I415">
        <f t="shared" si="6"/>
        <v>0</v>
      </c>
    </row>
    <row r="416" spans="1:9" x14ac:dyDescent="0.3">
      <c r="A416">
        <v>8</v>
      </c>
      <c r="B416">
        <v>9</v>
      </c>
      <c r="C416" s="4">
        <v>76</v>
      </c>
      <c r="D416" t="s">
        <v>10</v>
      </c>
      <c r="E416" t="s">
        <v>13</v>
      </c>
      <c r="F416">
        <v>2022</v>
      </c>
      <c r="G416" s="4">
        <v>76</v>
      </c>
      <c r="H416">
        <v>90</v>
      </c>
      <c r="I416">
        <f t="shared" si="6"/>
        <v>0</v>
      </c>
    </row>
    <row r="417" spans="1:9" x14ac:dyDescent="0.3">
      <c r="A417">
        <v>9</v>
      </c>
      <c r="B417">
        <v>9</v>
      </c>
      <c r="C417" s="4">
        <v>75</v>
      </c>
      <c r="D417" t="s">
        <v>10</v>
      </c>
      <c r="E417" t="s">
        <v>13</v>
      </c>
      <c r="F417">
        <v>2022</v>
      </c>
      <c r="G417" s="4">
        <v>75</v>
      </c>
      <c r="H417">
        <v>90</v>
      </c>
      <c r="I417">
        <f t="shared" si="6"/>
        <v>0</v>
      </c>
    </row>
    <row r="418" spans="1:9" x14ac:dyDescent="0.3">
      <c r="A418">
        <v>10</v>
      </c>
      <c r="B418">
        <v>9</v>
      </c>
      <c r="C418" s="4">
        <v>73</v>
      </c>
      <c r="D418" t="s">
        <v>11</v>
      </c>
      <c r="E418" t="s">
        <v>13</v>
      </c>
      <c r="F418">
        <v>2022</v>
      </c>
      <c r="G418" s="4">
        <v>73</v>
      </c>
      <c r="H418">
        <v>90</v>
      </c>
      <c r="I418">
        <f t="shared" si="6"/>
        <v>0</v>
      </c>
    </row>
    <row r="419" spans="1:9" x14ac:dyDescent="0.3">
      <c r="A419">
        <v>11</v>
      </c>
      <c r="B419">
        <v>9</v>
      </c>
      <c r="C419" s="4">
        <v>70</v>
      </c>
      <c r="D419" t="s">
        <v>11</v>
      </c>
      <c r="E419" t="s">
        <v>13</v>
      </c>
      <c r="F419">
        <v>2022</v>
      </c>
      <c r="G419" s="4">
        <v>70</v>
      </c>
      <c r="H419">
        <v>90</v>
      </c>
      <c r="I419">
        <f t="shared" si="6"/>
        <v>0</v>
      </c>
    </row>
    <row r="420" spans="1:9" x14ac:dyDescent="0.3">
      <c r="A420">
        <v>12</v>
      </c>
      <c r="B420">
        <v>9</v>
      </c>
      <c r="C420" s="4">
        <v>68</v>
      </c>
      <c r="D420" t="s">
        <v>11</v>
      </c>
      <c r="E420" t="s">
        <v>13</v>
      </c>
      <c r="F420">
        <v>2022</v>
      </c>
      <c r="G420" s="4">
        <v>68</v>
      </c>
      <c r="H420">
        <v>90</v>
      </c>
      <c r="I420">
        <f t="shared" si="6"/>
        <v>0</v>
      </c>
    </row>
    <row r="421" spans="1:9" x14ac:dyDescent="0.3">
      <c r="A421">
        <v>13</v>
      </c>
      <c r="B421">
        <v>9</v>
      </c>
      <c r="C421" s="4">
        <v>67</v>
      </c>
      <c r="D421" t="s">
        <v>11</v>
      </c>
      <c r="E421" t="s">
        <v>13</v>
      </c>
      <c r="F421">
        <v>2022</v>
      </c>
      <c r="G421" s="4">
        <v>67</v>
      </c>
      <c r="H421">
        <v>90</v>
      </c>
      <c r="I421">
        <f t="shared" si="6"/>
        <v>0</v>
      </c>
    </row>
    <row r="422" spans="1:9" x14ac:dyDescent="0.3">
      <c r="A422">
        <v>14</v>
      </c>
      <c r="B422">
        <v>9</v>
      </c>
      <c r="C422" s="4">
        <v>62</v>
      </c>
      <c r="D422" t="s">
        <v>11</v>
      </c>
      <c r="E422" t="s">
        <v>13</v>
      </c>
      <c r="F422">
        <v>2022</v>
      </c>
      <c r="G422" s="4">
        <v>62</v>
      </c>
      <c r="H422">
        <v>90</v>
      </c>
      <c r="I422">
        <f t="shared" si="6"/>
        <v>0</v>
      </c>
    </row>
    <row r="423" spans="1:9" x14ac:dyDescent="0.3">
      <c r="A423">
        <v>15</v>
      </c>
      <c r="B423">
        <v>9</v>
      </c>
      <c r="C423" s="4">
        <v>58</v>
      </c>
      <c r="D423" t="s">
        <v>11</v>
      </c>
      <c r="E423" t="s">
        <v>13</v>
      </c>
      <c r="F423">
        <v>2022</v>
      </c>
      <c r="G423" s="4">
        <v>57.999999999999993</v>
      </c>
      <c r="H423">
        <v>90</v>
      </c>
      <c r="I423">
        <f t="shared" si="6"/>
        <v>0</v>
      </c>
    </row>
    <row r="424" spans="1:9" x14ac:dyDescent="0.3">
      <c r="A424">
        <v>16</v>
      </c>
      <c r="B424">
        <v>9</v>
      </c>
      <c r="C424" s="4">
        <v>57</v>
      </c>
      <c r="D424" t="s">
        <v>11</v>
      </c>
      <c r="E424" t="s">
        <v>13</v>
      </c>
      <c r="F424">
        <v>2022</v>
      </c>
      <c r="G424" s="4">
        <v>56.999999999999993</v>
      </c>
      <c r="H424">
        <v>90</v>
      </c>
      <c r="I424">
        <f t="shared" si="6"/>
        <v>0</v>
      </c>
    </row>
    <row r="425" spans="1:9" x14ac:dyDescent="0.3">
      <c r="A425">
        <v>17</v>
      </c>
      <c r="B425">
        <v>9</v>
      </c>
      <c r="C425" s="4">
        <v>55</v>
      </c>
      <c r="D425" t="s">
        <v>11</v>
      </c>
      <c r="E425" t="s">
        <v>13</v>
      </c>
      <c r="F425">
        <v>2022</v>
      </c>
      <c r="G425" s="4">
        <v>55.000000000000007</v>
      </c>
      <c r="H425">
        <v>90</v>
      </c>
      <c r="I425">
        <f t="shared" si="6"/>
        <v>0</v>
      </c>
    </row>
    <row r="426" spans="1:9" x14ac:dyDescent="0.3">
      <c r="A426">
        <v>18</v>
      </c>
      <c r="B426">
        <v>9</v>
      </c>
      <c r="C426" s="4">
        <v>54</v>
      </c>
      <c r="D426" t="s">
        <v>11</v>
      </c>
      <c r="E426" t="s">
        <v>13</v>
      </c>
      <c r="F426">
        <v>2022</v>
      </c>
      <c r="G426" s="4">
        <v>54</v>
      </c>
      <c r="H426">
        <v>90</v>
      </c>
      <c r="I426">
        <f t="shared" si="6"/>
        <v>0</v>
      </c>
    </row>
    <row r="427" spans="1:9" x14ac:dyDescent="0.3">
      <c r="A427">
        <v>19</v>
      </c>
      <c r="B427">
        <v>9</v>
      </c>
      <c r="C427" s="4">
        <v>54</v>
      </c>
      <c r="D427" t="s">
        <v>11</v>
      </c>
      <c r="E427" t="s">
        <v>13</v>
      </c>
      <c r="F427">
        <v>2022</v>
      </c>
      <c r="G427" s="4">
        <v>54</v>
      </c>
      <c r="H427">
        <v>90</v>
      </c>
      <c r="I427">
        <f t="shared" si="6"/>
        <v>0</v>
      </c>
    </row>
    <row r="428" spans="1:9" x14ac:dyDescent="0.3">
      <c r="A428">
        <v>20</v>
      </c>
      <c r="B428">
        <v>9</v>
      </c>
      <c r="C428" s="4">
        <v>52</v>
      </c>
      <c r="D428" t="s">
        <v>11</v>
      </c>
      <c r="E428" t="s">
        <v>13</v>
      </c>
      <c r="F428">
        <v>2022</v>
      </c>
      <c r="G428" s="4">
        <v>52</v>
      </c>
      <c r="H428">
        <v>90</v>
      </c>
      <c r="I428">
        <f t="shared" si="6"/>
        <v>0</v>
      </c>
    </row>
    <row r="429" spans="1:9" x14ac:dyDescent="0.3">
      <c r="A429">
        <v>21</v>
      </c>
      <c r="B429">
        <v>9</v>
      </c>
      <c r="C429" s="4">
        <v>52</v>
      </c>
      <c r="D429" t="s">
        <v>11</v>
      </c>
      <c r="E429" t="s">
        <v>13</v>
      </c>
      <c r="F429">
        <v>2022</v>
      </c>
      <c r="G429" s="4">
        <v>52</v>
      </c>
      <c r="H429">
        <v>90</v>
      </c>
      <c r="I429">
        <f t="shared" si="6"/>
        <v>0</v>
      </c>
    </row>
    <row r="430" spans="1:9" x14ac:dyDescent="0.3">
      <c r="A430">
        <v>22</v>
      </c>
      <c r="B430">
        <v>9</v>
      </c>
      <c r="C430" s="4">
        <v>52</v>
      </c>
      <c r="D430" t="s">
        <v>11</v>
      </c>
      <c r="E430" t="s">
        <v>13</v>
      </c>
      <c r="F430">
        <v>2022</v>
      </c>
      <c r="G430" s="4">
        <v>52</v>
      </c>
      <c r="H430">
        <v>90</v>
      </c>
      <c r="I430">
        <f t="shared" si="6"/>
        <v>0</v>
      </c>
    </row>
    <row r="431" spans="1:9" x14ac:dyDescent="0.3">
      <c r="A431">
        <v>23</v>
      </c>
      <c r="B431">
        <v>9</v>
      </c>
      <c r="C431" s="4">
        <v>49</v>
      </c>
      <c r="D431" t="s">
        <v>11</v>
      </c>
      <c r="E431" t="s">
        <v>13</v>
      </c>
      <c r="F431">
        <v>2022</v>
      </c>
      <c r="G431" s="4">
        <v>49</v>
      </c>
      <c r="H431">
        <v>90</v>
      </c>
      <c r="I431">
        <f t="shared" si="6"/>
        <v>0</v>
      </c>
    </row>
    <row r="432" spans="1:9" x14ac:dyDescent="0.3">
      <c r="A432">
        <v>24</v>
      </c>
      <c r="B432">
        <v>9</v>
      </c>
      <c r="C432" s="4">
        <v>49</v>
      </c>
      <c r="D432" t="s">
        <v>11</v>
      </c>
      <c r="E432" t="s">
        <v>13</v>
      </c>
      <c r="F432">
        <v>2022</v>
      </c>
      <c r="G432" s="4">
        <v>49</v>
      </c>
      <c r="H432">
        <v>90</v>
      </c>
      <c r="I432">
        <f t="shared" si="6"/>
        <v>0</v>
      </c>
    </row>
    <row r="433" spans="1:9" x14ac:dyDescent="0.3">
      <c r="A433">
        <v>25</v>
      </c>
      <c r="B433">
        <v>9</v>
      </c>
      <c r="C433" s="4">
        <v>48</v>
      </c>
      <c r="D433" t="s">
        <v>11</v>
      </c>
      <c r="E433" t="s">
        <v>13</v>
      </c>
      <c r="F433">
        <v>2022</v>
      </c>
      <c r="G433" s="4">
        <v>48</v>
      </c>
      <c r="H433">
        <v>90</v>
      </c>
      <c r="I433">
        <f t="shared" si="6"/>
        <v>0</v>
      </c>
    </row>
    <row r="434" spans="1:9" x14ac:dyDescent="0.3">
      <c r="A434">
        <v>26</v>
      </c>
      <c r="B434">
        <v>9</v>
      </c>
      <c r="C434" s="4">
        <v>47</v>
      </c>
      <c r="D434" t="s">
        <v>11</v>
      </c>
      <c r="E434" t="s">
        <v>13</v>
      </c>
      <c r="F434">
        <v>2022</v>
      </c>
      <c r="G434" s="4">
        <v>47</v>
      </c>
      <c r="H434">
        <v>90</v>
      </c>
      <c r="I434">
        <f t="shared" si="6"/>
        <v>0</v>
      </c>
    </row>
    <row r="435" spans="1:9" x14ac:dyDescent="0.3">
      <c r="A435">
        <v>27</v>
      </c>
      <c r="B435">
        <v>9</v>
      </c>
      <c r="C435" s="4">
        <v>46</v>
      </c>
      <c r="D435" t="s">
        <v>11</v>
      </c>
      <c r="E435" t="s">
        <v>13</v>
      </c>
      <c r="F435">
        <v>2022</v>
      </c>
      <c r="G435" s="4">
        <v>46</v>
      </c>
      <c r="H435">
        <v>90</v>
      </c>
      <c r="I435">
        <f t="shared" si="6"/>
        <v>0</v>
      </c>
    </row>
    <row r="436" spans="1:9" x14ac:dyDescent="0.3">
      <c r="A436">
        <v>28</v>
      </c>
      <c r="B436">
        <v>9</v>
      </c>
      <c r="C436" s="4">
        <v>43</v>
      </c>
      <c r="D436" t="s">
        <v>11</v>
      </c>
      <c r="E436" t="s">
        <v>13</v>
      </c>
      <c r="F436">
        <v>2022</v>
      </c>
      <c r="G436" s="4">
        <v>43</v>
      </c>
      <c r="H436">
        <v>90</v>
      </c>
      <c r="I436">
        <f t="shared" si="6"/>
        <v>0</v>
      </c>
    </row>
    <row r="437" spans="1:9" x14ac:dyDescent="0.3">
      <c r="A437">
        <v>29</v>
      </c>
      <c r="B437">
        <v>9</v>
      </c>
      <c r="C437" s="4">
        <v>40</v>
      </c>
      <c r="D437" t="s">
        <v>11</v>
      </c>
      <c r="E437" t="s">
        <v>13</v>
      </c>
      <c r="F437">
        <v>2022</v>
      </c>
      <c r="G437" s="4">
        <v>40</v>
      </c>
      <c r="H437">
        <v>90</v>
      </c>
      <c r="I437">
        <f t="shared" si="6"/>
        <v>0</v>
      </c>
    </row>
    <row r="438" spans="1:9" x14ac:dyDescent="0.3">
      <c r="A438">
        <v>30</v>
      </c>
      <c r="B438">
        <v>9</v>
      </c>
      <c r="C438" s="4">
        <v>37</v>
      </c>
      <c r="D438" t="s">
        <v>11</v>
      </c>
      <c r="E438" t="s">
        <v>13</v>
      </c>
      <c r="F438">
        <v>2022</v>
      </c>
      <c r="G438" s="4">
        <v>37</v>
      </c>
      <c r="H438">
        <v>90</v>
      </c>
      <c r="I438">
        <f t="shared" si="6"/>
        <v>0</v>
      </c>
    </row>
    <row r="439" spans="1:9" x14ac:dyDescent="0.3">
      <c r="A439">
        <v>31</v>
      </c>
      <c r="B439">
        <v>9</v>
      </c>
      <c r="C439" s="4">
        <v>28</v>
      </c>
      <c r="D439" t="s">
        <v>11</v>
      </c>
      <c r="E439" t="s">
        <v>13</v>
      </c>
      <c r="F439">
        <v>2022</v>
      </c>
      <c r="G439" s="4">
        <v>28</v>
      </c>
      <c r="H439">
        <v>90</v>
      </c>
      <c r="I439">
        <f t="shared" si="6"/>
        <v>0</v>
      </c>
    </row>
    <row r="440" spans="1:9" x14ac:dyDescent="0.3">
      <c r="A440">
        <v>1</v>
      </c>
      <c r="B440">
        <v>10</v>
      </c>
      <c r="C440" s="4">
        <v>99</v>
      </c>
      <c r="D440" t="s">
        <v>8</v>
      </c>
      <c r="E440" t="s">
        <v>13</v>
      </c>
      <c r="F440">
        <v>2022</v>
      </c>
      <c r="G440" s="4">
        <v>99</v>
      </c>
      <c r="H440">
        <v>95</v>
      </c>
      <c r="I440">
        <f t="shared" si="6"/>
        <v>1</v>
      </c>
    </row>
    <row r="441" spans="1:9" x14ac:dyDescent="0.3">
      <c r="A441">
        <v>2</v>
      </c>
      <c r="B441">
        <v>10</v>
      </c>
      <c r="C441" s="4">
        <v>94</v>
      </c>
      <c r="D441" t="s">
        <v>8</v>
      </c>
      <c r="E441" t="s">
        <v>13</v>
      </c>
      <c r="F441">
        <v>2022</v>
      </c>
      <c r="G441" s="4">
        <v>94</v>
      </c>
      <c r="H441">
        <v>95</v>
      </c>
      <c r="I441">
        <f t="shared" si="6"/>
        <v>0</v>
      </c>
    </row>
    <row r="442" spans="1:9" x14ac:dyDescent="0.3">
      <c r="A442">
        <v>3</v>
      </c>
      <c r="B442">
        <v>10</v>
      </c>
      <c r="C442" s="4">
        <v>90</v>
      </c>
      <c r="D442" t="s">
        <v>8</v>
      </c>
      <c r="E442" t="s">
        <v>13</v>
      </c>
      <c r="F442">
        <v>2022</v>
      </c>
      <c r="G442" s="4">
        <v>90</v>
      </c>
      <c r="H442">
        <v>95</v>
      </c>
      <c r="I442">
        <f t="shared" si="6"/>
        <v>0</v>
      </c>
    </row>
    <row r="443" spans="1:9" x14ac:dyDescent="0.3">
      <c r="A443">
        <v>4</v>
      </c>
      <c r="B443">
        <v>10</v>
      </c>
      <c r="C443" s="4">
        <v>88</v>
      </c>
      <c r="D443" t="s">
        <v>10</v>
      </c>
      <c r="E443" t="s">
        <v>13</v>
      </c>
      <c r="F443">
        <v>2022</v>
      </c>
      <c r="G443" s="4">
        <v>88</v>
      </c>
      <c r="H443">
        <v>95</v>
      </c>
      <c r="I443">
        <f t="shared" si="6"/>
        <v>0</v>
      </c>
    </row>
    <row r="444" spans="1:9" x14ac:dyDescent="0.3">
      <c r="A444">
        <v>5</v>
      </c>
      <c r="B444">
        <v>10</v>
      </c>
      <c r="C444" s="4">
        <v>86</v>
      </c>
      <c r="D444" t="s">
        <v>10</v>
      </c>
      <c r="E444" t="s">
        <v>13</v>
      </c>
      <c r="F444">
        <v>2022</v>
      </c>
      <c r="G444" s="4">
        <v>86</v>
      </c>
      <c r="H444">
        <v>95</v>
      </c>
      <c r="I444">
        <f t="shared" si="6"/>
        <v>0</v>
      </c>
    </row>
    <row r="445" spans="1:9" x14ac:dyDescent="0.3">
      <c r="A445">
        <v>6</v>
      </c>
      <c r="B445">
        <v>10</v>
      </c>
      <c r="C445" s="4">
        <v>85</v>
      </c>
      <c r="D445" t="s">
        <v>10</v>
      </c>
      <c r="E445" t="s">
        <v>13</v>
      </c>
      <c r="F445">
        <v>2022</v>
      </c>
      <c r="G445" s="4">
        <v>85</v>
      </c>
      <c r="H445">
        <v>95</v>
      </c>
      <c r="I445">
        <f t="shared" si="6"/>
        <v>0</v>
      </c>
    </row>
    <row r="446" spans="1:9" x14ac:dyDescent="0.3">
      <c r="A446">
        <v>7</v>
      </c>
      <c r="B446">
        <v>10</v>
      </c>
      <c r="C446" s="4">
        <v>84</v>
      </c>
      <c r="D446" t="s">
        <v>10</v>
      </c>
      <c r="E446" t="s">
        <v>13</v>
      </c>
      <c r="F446">
        <v>2022</v>
      </c>
      <c r="G446" s="4">
        <v>84</v>
      </c>
      <c r="H446">
        <v>95</v>
      </c>
      <c r="I446">
        <f t="shared" si="6"/>
        <v>0</v>
      </c>
    </row>
    <row r="447" spans="1:9" x14ac:dyDescent="0.3">
      <c r="A447">
        <v>8</v>
      </c>
      <c r="B447">
        <v>10</v>
      </c>
      <c r="C447" s="4">
        <v>82</v>
      </c>
      <c r="D447" t="s">
        <v>10</v>
      </c>
      <c r="E447" t="s">
        <v>13</v>
      </c>
      <c r="F447">
        <v>2022</v>
      </c>
      <c r="G447" s="4">
        <v>82</v>
      </c>
      <c r="H447">
        <v>95</v>
      </c>
      <c r="I447">
        <f t="shared" si="6"/>
        <v>0</v>
      </c>
    </row>
    <row r="448" spans="1:9" x14ac:dyDescent="0.3">
      <c r="A448">
        <v>9</v>
      </c>
      <c r="B448">
        <v>10</v>
      </c>
      <c r="C448" s="4">
        <v>73</v>
      </c>
      <c r="D448" t="s">
        <v>11</v>
      </c>
      <c r="E448" t="s">
        <v>13</v>
      </c>
      <c r="F448">
        <v>2022</v>
      </c>
      <c r="G448" s="4">
        <v>73</v>
      </c>
      <c r="H448">
        <v>95</v>
      </c>
      <c r="I448">
        <f t="shared" si="6"/>
        <v>0</v>
      </c>
    </row>
    <row r="449" spans="1:9" x14ac:dyDescent="0.3">
      <c r="A449">
        <v>10</v>
      </c>
      <c r="B449">
        <v>10</v>
      </c>
      <c r="C449" s="4">
        <v>71</v>
      </c>
      <c r="D449" t="s">
        <v>11</v>
      </c>
      <c r="E449" t="s">
        <v>13</v>
      </c>
      <c r="F449">
        <v>2022</v>
      </c>
      <c r="G449" s="4">
        <v>71</v>
      </c>
      <c r="H449">
        <v>95</v>
      </c>
      <c r="I449">
        <f t="shared" si="6"/>
        <v>0</v>
      </c>
    </row>
    <row r="450" spans="1:9" x14ac:dyDescent="0.3">
      <c r="A450">
        <v>11</v>
      </c>
      <c r="B450">
        <v>10</v>
      </c>
      <c r="C450" s="4">
        <v>67</v>
      </c>
      <c r="D450" t="s">
        <v>11</v>
      </c>
      <c r="E450" t="s">
        <v>13</v>
      </c>
      <c r="F450">
        <v>2022</v>
      </c>
      <c r="G450" s="4">
        <v>67</v>
      </c>
      <c r="H450">
        <v>95</v>
      </c>
      <c r="I450">
        <f t="shared" si="6"/>
        <v>0</v>
      </c>
    </row>
    <row r="451" spans="1:9" x14ac:dyDescent="0.3">
      <c r="A451">
        <v>12</v>
      </c>
      <c r="B451">
        <v>10</v>
      </c>
      <c r="C451" s="4">
        <v>64</v>
      </c>
      <c r="D451" t="s">
        <v>11</v>
      </c>
      <c r="E451" t="s">
        <v>13</v>
      </c>
      <c r="F451">
        <v>2022</v>
      </c>
      <c r="G451" s="4">
        <v>64</v>
      </c>
      <c r="H451">
        <v>95</v>
      </c>
      <c r="I451">
        <f t="shared" ref="I451:I514" si="7">IF(C451&gt;=H451,1,0)</f>
        <v>0</v>
      </c>
    </row>
    <row r="452" spans="1:9" x14ac:dyDescent="0.3">
      <c r="A452">
        <v>13</v>
      </c>
      <c r="B452">
        <v>10</v>
      </c>
      <c r="C452" s="4">
        <v>64</v>
      </c>
      <c r="D452" t="s">
        <v>11</v>
      </c>
      <c r="E452" t="s">
        <v>13</v>
      </c>
      <c r="F452">
        <v>2022</v>
      </c>
      <c r="G452" s="4">
        <v>64</v>
      </c>
      <c r="H452">
        <v>95</v>
      </c>
      <c r="I452">
        <f t="shared" si="7"/>
        <v>0</v>
      </c>
    </row>
    <row r="453" spans="1:9" x14ac:dyDescent="0.3">
      <c r="A453">
        <v>14</v>
      </c>
      <c r="B453">
        <v>10</v>
      </c>
      <c r="C453" s="4">
        <v>61</v>
      </c>
      <c r="D453" t="s">
        <v>11</v>
      </c>
      <c r="E453" t="s">
        <v>13</v>
      </c>
      <c r="F453">
        <v>2022</v>
      </c>
      <c r="G453" s="4">
        <v>61</v>
      </c>
      <c r="H453">
        <v>95</v>
      </c>
      <c r="I453">
        <f t="shared" si="7"/>
        <v>0</v>
      </c>
    </row>
    <row r="454" spans="1:9" x14ac:dyDescent="0.3">
      <c r="A454">
        <v>15</v>
      </c>
      <c r="B454">
        <v>10</v>
      </c>
      <c r="C454" s="4">
        <v>59</v>
      </c>
      <c r="D454" t="s">
        <v>11</v>
      </c>
      <c r="E454" t="s">
        <v>13</v>
      </c>
      <c r="F454">
        <v>2022</v>
      </c>
      <c r="G454" s="4">
        <v>59</v>
      </c>
      <c r="H454">
        <v>95</v>
      </c>
      <c r="I454">
        <f t="shared" si="7"/>
        <v>0</v>
      </c>
    </row>
    <row r="455" spans="1:9" x14ac:dyDescent="0.3">
      <c r="A455">
        <v>16</v>
      </c>
      <c r="B455">
        <v>10</v>
      </c>
      <c r="C455" s="4">
        <v>59</v>
      </c>
      <c r="D455" t="s">
        <v>11</v>
      </c>
      <c r="E455" t="s">
        <v>13</v>
      </c>
      <c r="F455">
        <v>2022</v>
      </c>
      <c r="G455" s="4">
        <v>59</v>
      </c>
      <c r="H455">
        <v>95</v>
      </c>
      <c r="I455">
        <f t="shared" si="7"/>
        <v>0</v>
      </c>
    </row>
    <row r="456" spans="1:9" x14ac:dyDescent="0.3">
      <c r="A456">
        <v>17</v>
      </c>
      <c r="B456">
        <v>10</v>
      </c>
      <c r="C456" s="4">
        <v>57</v>
      </c>
      <c r="D456" t="s">
        <v>11</v>
      </c>
      <c r="E456" t="s">
        <v>13</v>
      </c>
      <c r="F456">
        <v>2022</v>
      </c>
      <c r="G456" s="4">
        <v>56.999999999999993</v>
      </c>
      <c r="H456">
        <v>95</v>
      </c>
      <c r="I456">
        <f t="shared" si="7"/>
        <v>0</v>
      </c>
    </row>
    <row r="457" spans="1:9" x14ac:dyDescent="0.3">
      <c r="A457">
        <v>18</v>
      </c>
      <c r="B457">
        <v>10</v>
      </c>
      <c r="C457" s="4">
        <v>56</v>
      </c>
      <c r="D457" t="s">
        <v>11</v>
      </c>
      <c r="E457" t="s">
        <v>13</v>
      </c>
      <c r="F457">
        <v>2022</v>
      </c>
      <c r="G457" s="4">
        <v>56.000000000000007</v>
      </c>
      <c r="H457">
        <v>95</v>
      </c>
      <c r="I457">
        <f t="shared" si="7"/>
        <v>0</v>
      </c>
    </row>
    <row r="458" spans="1:9" x14ac:dyDescent="0.3">
      <c r="A458">
        <v>19</v>
      </c>
      <c r="B458">
        <v>10</v>
      </c>
      <c r="C458" s="4">
        <v>54</v>
      </c>
      <c r="D458" t="s">
        <v>11</v>
      </c>
      <c r="E458" t="s">
        <v>13</v>
      </c>
      <c r="F458">
        <v>2022</v>
      </c>
      <c r="G458" s="4">
        <v>54</v>
      </c>
      <c r="H458">
        <v>95</v>
      </c>
      <c r="I458">
        <f t="shared" si="7"/>
        <v>0</v>
      </c>
    </row>
    <row r="459" spans="1:9" x14ac:dyDescent="0.3">
      <c r="A459">
        <v>20</v>
      </c>
      <c r="B459">
        <v>10</v>
      </c>
      <c r="C459" s="4">
        <v>53</v>
      </c>
      <c r="D459" t="s">
        <v>11</v>
      </c>
      <c r="E459" t="s">
        <v>13</v>
      </c>
      <c r="F459">
        <v>2022</v>
      </c>
      <c r="G459" s="4">
        <v>53</v>
      </c>
      <c r="H459">
        <v>95</v>
      </c>
      <c r="I459">
        <f t="shared" si="7"/>
        <v>0</v>
      </c>
    </row>
    <row r="460" spans="1:9" x14ac:dyDescent="0.3">
      <c r="A460">
        <v>21</v>
      </c>
      <c r="B460">
        <v>10</v>
      </c>
      <c r="C460" s="4">
        <v>49</v>
      </c>
      <c r="D460" t="s">
        <v>11</v>
      </c>
      <c r="E460" t="s">
        <v>13</v>
      </c>
      <c r="F460">
        <v>2022</v>
      </c>
      <c r="G460" s="4">
        <v>49</v>
      </c>
      <c r="H460">
        <v>95</v>
      </c>
      <c r="I460">
        <f t="shared" si="7"/>
        <v>0</v>
      </c>
    </row>
    <row r="461" spans="1:9" x14ac:dyDescent="0.3">
      <c r="A461">
        <v>22</v>
      </c>
      <c r="B461">
        <v>10</v>
      </c>
      <c r="C461" s="4">
        <v>48</v>
      </c>
      <c r="D461" t="s">
        <v>11</v>
      </c>
      <c r="E461" t="s">
        <v>13</v>
      </c>
      <c r="F461">
        <v>2022</v>
      </c>
      <c r="G461" s="4">
        <v>48</v>
      </c>
      <c r="H461">
        <v>95</v>
      </c>
      <c r="I461">
        <f t="shared" si="7"/>
        <v>0</v>
      </c>
    </row>
    <row r="462" spans="1:9" x14ac:dyDescent="0.3">
      <c r="A462">
        <v>23</v>
      </c>
      <c r="B462">
        <v>10</v>
      </c>
      <c r="C462" s="4">
        <v>48</v>
      </c>
      <c r="D462" t="s">
        <v>11</v>
      </c>
      <c r="E462" t="s">
        <v>13</v>
      </c>
      <c r="F462">
        <v>2022</v>
      </c>
      <c r="G462" s="4">
        <v>48</v>
      </c>
      <c r="H462">
        <v>95</v>
      </c>
      <c r="I462">
        <f t="shared" si="7"/>
        <v>0</v>
      </c>
    </row>
    <row r="463" spans="1:9" x14ac:dyDescent="0.3">
      <c r="A463">
        <v>24</v>
      </c>
      <c r="B463">
        <v>10</v>
      </c>
      <c r="C463" s="4">
        <v>45</v>
      </c>
      <c r="D463" t="s">
        <v>11</v>
      </c>
      <c r="E463" t="s">
        <v>13</v>
      </c>
      <c r="F463">
        <v>2022</v>
      </c>
      <c r="G463" s="4">
        <v>45</v>
      </c>
      <c r="H463">
        <v>95</v>
      </c>
      <c r="I463">
        <f t="shared" si="7"/>
        <v>0</v>
      </c>
    </row>
    <row r="464" spans="1:9" x14ac:dyDescent="0.3">
      <c r="A464">
        <v>25</v>
      </c>
      <c r="B464">
        <v>10</v>
      </c>
      <c r="C464" s="4">
        <v>42</v>
      </c>
      <c r="D464" t="s">
        <v>11</v>
      </c>
      <c r="E464" t="s">
        <v>13</v>
      </c>
      <c r="F464">
        <v>2022</v>
      </c>
      <c r="G464" s="4">
        <v>42</v>
      </c>
      <c r="H464">
        <v>95</v>
      </c>
      <c r="I464">
        <f t="shared" si="7"/>
        <v>0</v>
      </c>
    </row>
    <row r="465" spans="1:9" x14ac:dyDescent="0.3">
      <c r="A465">
        <v>26</v>
      </c>
      <c r="B465">
        <v>10</v>
      </c>
      <c r="C465" s="4">
        <v>41</v>
      </c>
      <c r="D465" t="s">
        <v>11</v>
      </c>
      <c r="E465" t="s">
        <v>13</v>
      </c>
      <c r="F465">
        <v>2022</v>
      </c>
      <c r="G465" s="4">
        <v>41</v>
      </c>
      <c r="H465">
        <v>95</v>
      </c>
      <c r="I465">
        <f t="shared" si="7"/>
        <v>0</v>
      </c>
    </row>
    <row r="466" spans="1:9" x14ac:dyDescent="0.3">
      <c r="A466">
        <v>27</v>
      </c>
      <c r="B466">
        <v>10</v>
      </c>
      <c r="C466" s="4">
        <v>40</v>
      </c>
      <c r="D466" t="s">
        <v>11</v>
      </c>
      <c r="E466" t="s">
        <v>13</v>
      </c>
      <c r="F466">
        <v>2022</v>
      </c>
      <c r="G466" s="4">
        <v>40</v>
      </c>
      <c r="H466">
        <v>95</v>
      </c>
      <c r="I466">
        <f t="shared" si="7"/>
        <v>0</v>
      </c>
    </row>
    <row r="467" spans="1:9" x14ac:dyDescent="0.3">
      <c r="A467">
        <v>28</v>
      </c>
      <c r="B467">
        <v>10</v>
      </c>
      <c r="C467" s="4">
        <v>37</v>
      </c>
      <c r="D467" t="s">
        <v>11</v>
      </c>
      <c r="E467" t="s">
        <v>13</v>
      </c>
      <c r="F467">
        <v>2022</v>
      </c>
      <c r="G467" s="4">
        <v>37</v>
      </c>
      <c r="H467">
        <v>95</v>
      </c>
      <c r="I467">
        <f t="shared" si="7"/>
        <v>0</v>
      </c>
    </row>
    <row r="468" spans="1:9" x14ac:dyDescent="0.3">
      <c r="A468">
        <v>29</v>
      </c>
      <c r="B468">
        <v>10</v>
      </c>
      <c r="C468" s="4">
        <v>26</v>
      </c>
      <c r="D468" t="s">
        <v>11</v>
      </c>
      <c r="E468" t="s">
        <v>13</v>
      </c>
      <c r="F468">
        <v>2022</v>
      </c>
      <c r="G468" s="4">
        <v>26</v>
      </c>
      <c r="H468">
        <v>95</v>
      </c>
      <c r="I468">
        <f t="shared" si="7"/>
        <v>0</v>
      </c>
    </row>
    <row r="469" spans="1:9" x14ac:dyDescent="0.3">
      <c r="A469">
        <v>30</v>
      </c>
      <c r="B469">
        <v>10</v>
      </c>
      <c r="C469" s="4">
        <v>0</v>
      </c>
      <c r="D469" t="s">
        <v>11</v>
      </c>
      <c r="E469" t="s">
        <v>13</v>
      </c>
      <c r="F469">
        <v>2022</v>
      </c>
      <c r="G469" s="4">
        <v>0</v>
      </c>
      <c r="H469">
        <v>95</v>
      </c>
      <c r="I469">
        <f t="shared" si="7"/>
        <v>0</v>
      </c>
    </row>
    <row r="470" spans="1:9" x14ac:dyDescent="0.3">
      <c r="A470">
        <v>1</v>
      </c>
      <c r="B470">
        <v>11</v>
      </c>
      <c r="C470" s="4">
        <v>98</v>
      </c>
      <c r="D470" t="s">
        <v>8</v>
      </c>
      <c r="E470" t="s">
        <v>13</v>
      </c>
      <c r="F470">
        <v>2022</v>
      </c>
      <c r="G470" s="4">
        <v>98</v>
      </c>
      <c r="H470">
        <v>97</v>
      </c>
      <c r="I470">
        <f t="shared" si="7"/>
        <v>1</v>
      </c>
    </row>
    <row r="471" spans="1:9" x14ac:dyDescent="0.3">
      <c r="A471">
        <v>2</v>
      </c>
      <c r="B471">
        <v>11</v>
      </c>
      <c r="C471" s="4">
        <v>96</v>
      </c>
      <c r="D471" t="s">
        <v>8</v>
      </c>
      <c r="E471" t="s">
        <v>13</v>
      </c>
      <c r="F471">
        <v>2022</v>
      </c>
      <c r="G471" s="4">
        <v>96</v>
      </c>
      <c r="H471">
        <v>97</v>
      </c>
      <c r="I471">
        <f t="shared" si="7"/>
        <v>0</v>
      </c>
    </row>
    <row r="472" spans="1:9" x14ac:dyDescent="0.3">
      <c r="A472">
        <v>3</v>
      </c>
      <c r="B472">
        <v>11</v>
      </c>
      <c r="C472" s="4">
        <v>87</v>
      </c>
      <c r="D472" t="s">
        <v>10</v>
      </c>
      <c r="E472" t="s">
        <v>13</v>
      </c>
      <c r="F472">
        <v>2022</v>
      </c>
      <c r="G472" s="4">
        <v>87</v>
      </c>
      <c r="H472">
        <v>97</v>
      </c>
      <c r="I472">
        <f t="shared" si="7"/>
        <v>0</v>
      </c>
    </row>
    <row r="473" spans="1:9" x14ac:dyDescent="0.3">
      <c r="A473">
        <v>4</v>
      </c>
      <c r="B473">
        <v>11</v>
      </c>
      <c r="C473" s="4">
        <v>87</v>
      </c>
      <c r="D473" t="s">
        <v>10</v>
      </c>
      <c r="E473" t="s">
        <v>13</v>
      </c>
      <c r="F473">
        <v>2022</v>
      </c>
      <c r="G473" s="4">
        <v>87</v>
      </c>
      <c r="H473">
        <v>97</v>
      </c>
      <c r="I473">
        <f t="shared" si="7"/>
        <v>0</v>
      </c>
    </row>
    <row r="474" spans="1:9" x14ac:dyDescent="0.3">
      <c r="A474">
        <v>5</v>
      </c>
      <c r="B474">
        <v>11</v>
      </c>
      <c r="C474" s="4">
        <v>87</v>
      </c>
      <c r="D474" t="s">
        <v>10</v>
      </c>
      <c r="E474" t="s">
        <v>13</v>
      </c>
      <c r="F474">
        <v>2022</v>
      </c>
      <c r="G474" s="4">
        <v>87</v>
      </c>
      <c r="H474">
        <v>97</v>
      </c>
      <c r="I474">
        <f t="shared" si="7"/>
        <v>0</v>
      </c>
    </row>
    <row r="475" spans="1:9" x14ac:dyDescent="0.3">
      <c r="A475">
        <v>6</v>
      </c>
      <c r="B475">
        <v>11</v>
      </c>
      <c r="C475" s="4">
        <v>86</v>
      </c>
      <c r="D475" t="s">
        <v>10</v>
      </c>
      <c r="E475" t="s">
        <v>13</v>
      </c>
      <c r="F475">
        <v>2022</v>
      </c>
      <c r="G475" s="4">
        <v>86</v>
      </c>
      <c r="H475">
        <v>97</v>
      </c>
      <c r="I475">
        <f t="shared" si="7"/>
        <v>0</v>
      </c>
    </row>
    <row r="476" spans="1:9" x14ac:dyDescent="0.3">
      <c r="A476">
        <v>7</v>
      </c>
      <c r="B476">
        <v>11</v>
      </c>
      <c r="C476" s="4">
        <v>80</v>
      </c>
      <c r="D476" t="s">
        <v>10</v>
      </c>
      <c r="E476" t="s">
        <v>13</v>
      </c>
      <c r="F476">
        <v>2022</v>
      </c>
      <c r="G476" s="4">
        <v>80</v>
      </c>
      <c r="H476">
        <v>97</v>
      </c>
      <c r="I476">
        <f t="shared" si="7"/>
        <v>0</v>
      </c>
    </row>
    <row r="477" spans="1:9" x14ac:dyDescent="0.3">
      <c r="A477">
        <v>8</v>
      </c>
      <c r="B477">
        <v>11</v>
      </c>
      <c r="C477" s="4">
        <v>79</v>
      </c>
      <c r="D477" t="s">
        <v>10</v>
      </c>
      <c r="E477" t="s">
        <v>13</v>
      </c>
      <c r="F477">
        <v>2022</v>
      </c>
      <c r="G477" s="4">
        <v>79</v>
      </c>
      <c r="H477">
        <v>97</v>
      </c>
      <c r="I477">
        <f t="shared" si="7"/>
        <v>0</v>
      </c>
    </row>
    <row r="478" spans="1:9" x14ac:dyDescent="0.3">
      <c r="A478">
        <v>9</v>
      </c>
      <c r="B478">
        <v>11</v>
      </c>
      <c r="C478" s="4">
        <v>78</v>
      </c>
      <c r="D478" t="s">
        <v>10</v>
      </c>
      <c r="E478" t="s">
        <v>13</v>
      </c>
      <c r="F478">
        <v>2022</v>
      </c>
      <c r="G478" s="4">
        <v>78</v>
      </c>
      <c r="H478">
        <v>97</v>
      </c>
      <c r="I478">
        <f t="shared" si="7"/>
        <v>0</v>
      </c>
    </row>
    <row r="479" spans="1:9" x14ac:dyDescent="0.3">
      <c r="A479">
        <v>10</v>
      </c>
      <c r="B479">
        <v>11</v>
      </c>
      <c r="C479" s="4">
        <v>74</v>
      </c>
      <c r="D479" t="s">
        <v>10</v>
      </c>
      <c r="E479" t="s">
        <v>13</v>
      </c>
      <c r="F479">
        <v>2022</v>
      </c>
      <c r="G479" s="4">
        <v>74</v>
      </c>
      <c r="H479">
        <v>97</v>
      </c>
      <c r="I479">
        <f t="shared" si="7"/>
        <v>0</v>
      </c>
    </row>
    <row r="480" spans="1:9" x14ac:dyDescent="0.3">
      <c r="A480">
        <v>11</v>
      </c>
      <c r="B480">
        <v>11</v>
      </c>
      <c r="C480" s="4">
        <v>74</v>
      </c>
      <c r="D480" t="s">
        <v>10</v>
      </c>
      <c r="E480" t="s">
        <v>13</v>
      </c>
      <c r="F480">
        <v>2022</v>
      </c>
      <c r="G480" s="4">
        <v>74</v>
      </c>
      <c r="H480">
        <v>97</v>
      </c>
      <c r="I480">
        <f t="shared" si="7"/>
        <v>0</v>
      </c>
    </row>
    <row r="481" spans="1:9" x14ac:dyDescent="0.3">
      <c r="A481">
        <v>12</v>
      </c>
      <c r="B481">
        <v>11</v>
      </c>
      <c r="C481" s="4">
        <v>73</v>
      </c>
      <c r="D481" t="s">
        <v>11</v>
      </c>
      <c r="E481" t="s">
        <v>13</v>
      </c>
      <c r="F481">
        <v>2022</v>
      </c>
      <c r="G481" s="4">
        <v>73</v>
      </c>
      <c r="H481">
        <v>97</v>
      </c>
      <c r="I481">
        <f t="shared" si="7"/>
        <v>0</v>
      </c>
    </row>
    <row r="482" spans="1:9" x14ac:dyDescent="0.3">
      <c r="A482">
        <v>13</v>
      </c>
      <c r="B482">
        <v>11</v>
      </c>
      <c r="C482" s="4">
        <v>73</v>
      </c>
      <c r="D482" t="s">
        <v>11</v>
      </c>
      <c r="E482" t="s">
        <v>13</v>
      </c>
      <c r="F482">
        <v>2022</v>
      </c>
      <c r="G482" s="4">
        <v>73</v>
      </c>
      <c r="H482">
        <v>97</v>
      </c>
      <c r="I482">
        <f t="shared" si="7"/>
        <v>0</v>
      </c>
    </row>
    <row r="483" spans="1:9" x14ac:dyDescent="0.3">
      <c r="A483">
        <v>14</v>
      </c>
      <c r="B483">
        <v>11</v>
      </c>
      <c r="C483" s="4">
        <v>69</v>
      </c>
      <c r="D483" t="s">
        <v>11</v>
      </c>
      <c r="E483" t="s">
        <v>13</v>
      </c>
      <c r="F483">
        <v>2022</v>
      </c>
      <c r="G483" s="4">
        <v>69</v>
      </c>
      <c r="H483">
        <v>97</v>
      </c>
      <c r="I483">
        <f t="shared" si="7"/>
        <v>0</v>
      </c>
    </row>
    <row r="484" spans="1:9" x14ac:dyDescent="0.3">
      <c r="A484">
        <v>15</v>
      </c>
      <c r="B484">
        <v>11</v>
      </c>
      <c r="C484" s="4">
        <v>68</v>
      </c>
      <c r="D484" t="s">
        <v>11</v>
      </c>
      <c r="E484" t="s">
        <v>13</v>
      </c>
      <c r="F484">
        <v>2022</v>
      </c>
      <c r="G484" s="4">
        <v>68</v>
      </c>
      <c r="H484">
        <v>97</v>
      </c>
      <c r="I484">
        <f t="shared" si="7"/>
        <v>0</v>
      </c>
    </row>
    <row r="485" spans="1:9" x14ac:dyDescent="0.3">
      <c r="A485">
        <v>16</v>
      </c>
      <c r="B485">
        <v>11</v>
      </c>
      <c r="C485" s="4">
        <v>67</v>
      </c>
      <c r="D485" t="s">
        <v>11</v>
      </c>
      <c r="E485" t="s">
        <v>13</v>
      </c>
      <c r="F485">
        <v>2022</v>
      </c>
      <c r="G485" s="4">
        <v>67</v>
      </c>
      <c r="H485">
        <v>97</v>
      </c>
      <c r="I485">
        <f t="shared" si="7"/>
        <v>0</v>
      </c>
    </row>
    <row r="486" spans="1:9" x14ac:dyDescent="0.3">
      <c r="A486">
        <v>17</v>
      </c>
      <c r="B486">
        <v>11</v>
      </c>
      <c r="C486" s="4">
        <v>66</v>
      </c>
      <c r="D486" t="s">
        <v>11</v>
      </c>
      <c r="E486" t="s">
        <v>13</v>
      </c>
      <c r="F486">
        <v>2022</v>
      </c>
      <c r="G486" s="4">
        <v>66</v>
      </c>
      <c r="H486">
        <v>97</v>
      </c>
      <c r="I486">
        <f t="shared" si="7"/>
        <v>0</v>
      </c>
    </row>
    <row r="487" spans="1:9" x14ac:dyDescent="0.3">
      <c r="A487">
        <v>18</v>
      </c>
      <c r="B487">
        <v>11</v>
      </c>
      <c r="C487" s="4">
        <v>65</v>
      </c>
      <c r="D487" t="s">
        <v>11</v>
      </c>
      <c r="E487" t="s">
        <v>13</v>
      </c>
      <c r="F487">
        <v>2022</v>
      </c>
      <c r="G487" s="4">
        <v>65</v>
      </c>
      <c r="H487">
        <v>97</v>
      </c>
      <c r="I487">
        <f t="shared" si="7"/>
        <v>0</v>
      </c>
    </row>
    <row r="488" spans="1:9" x14ac:dyDescent="0.3">
      <c r="A488">
        <v>19</v>
      </c>
      <c r="B488">
        <v>11</v>
      </c>
      <c r="C488" s="4">
        <v>65</v>
      </c>
      <c r="D488" t="s">
        <v>11</v>
      </c>
      <c r="E488" t="s">
        <v>13</v>
      </c>
      <c r="F488">
        <v>2022</v>
      </c>
      <c r="G488" s="4">
        <v>65</v>
      </c>
      <c r="H488">
        <v>97</v>
      </c>
      <c r="I488">
        <f t="shared" si="7"/>
        <v>0</v>
      </c>
    </row>
    <row r="489" spans="1:9" x14ac:dyDescent="0.3">
      <c r="A489">
        <v>20</v>
      </c>
      <c r="B489">
        <v>11</v>
      </c>
      <c r="C489" s="4">
        <v>63</v>
      </c>
      <c r="D489" t="s">
        <v>11</v>
      </c>
      <c r="E489" t="s">
        <v>13</v>
      </c>
      <c r="F489">
        <v>2022</v>
      </c>
      <c r="G489" s="4">
        <v>63</v>
      </c>
      <c r="H489">
        <v>97</v>
      </c>
      <c r="I489">
        <f t="shared" si="7"/>
        <v>0</v>
      </c>
    </row>
    <row r="490" spans="1:9" x14ac:dyDescent="0.3">
      <c r="A490">
        <v>21</v>
      </c>
      <c r="B490">
        <v>11</v>
      </c>
      <c r="C490" s="4">
        <v>60</v>
      </c>
      <c r="D490" t="s">
        <v>11</v>
      </c>
      <c r="E490" t="s">
        <v>13</v>
      </c>
      <c r="F490">
        <v>2022</v>
      </c>
      <c r="G490" s="4">
        <v>60</v>
      </c>
      <c r="H490">
        <v>97</v>
      </c>
      <c r="I490">
        <f t="shared" si="7"/>
        <v>0</v>
      </c>
    </row>
    <row r="491" spans="1:9" x14ac:dyDescent="0.3">
      <c r="A491">
        <v>22</v>
      </c>
      <c r="B491">
        <v>11</v>
      </c>
      <c r="C491" s="4">
        <v>59</v>
      </c>
      <c r="D491" t="s">
        <v>11</v>
      </c>
      <c r="E491" t="s">
        <v>13</v>
      </c>
      <c r="F491">
        <v>2022</v>
      </c>
      <c r="G491" s="4">
        <v>59</v>
      </c>
      <c r="H491">
        <v>97</v>
      </c>
      <c r="I491">
        <f t="shared" si="7"/>
        <v>0</v>
      </c>
    </row>
    <row r="492" spans="1:9" x14ac:dyDescent="0.3">
      <c r="A492">
        <v>23</v>
      </c>
      <c r="B492">
        <v>11</v>
      </c>
      <c r="C492" s="4">
        <v>58</v>
      </c>
      <c r="D492" t="s">
        <v>11</v>
      </c>
      <c r="E492" t="s">
        <v>13</v>
      </c>
      <c r="F492">
        <v>2022</v>
      </c>
      <c r="G492" s="4">
        <v>57.999999999999993</v>
      </c>
      <c r="H492">
        <v>97</v>
      </c>
      <c r="I492">
        <f t="shared" si="7"/>
        <v>0</v>
      </c>
    </row>
    <row r="493" spans="1:9" x14ac:dyDescent="0.3">
      <c r="A493">
        <v>24</v>
      </c>
      <c r="B493">
        <v>11</v>
      </c>
      <c r="C493" s="4">
        <v>57</v>
      </c>
      <c r="D493" t="s">
        <v>11</v>
      </c>
      <c r="E493" t="s">
        <v>13</v>
      </c>
      <c r="F493">
        <v>2022</v>
      </c>
      <c r="G493" s="4">
        <v>56.999999999999993</v>
      </c>
      <c r="H493">
        <v>97</v>
      </c>
      <c r="I493">
        <f t="shared" si="7"/>
        <v>0</v>
      </c>
    </row>
    <row r="494" spans="1:9" x14ac:dyDescent="0.3">
      <c r="A494">
        <v>25</v>
      </c>
      <c r="B494">
        <v>11</v>
      </c>
      <c r="C494" s="4">
        <v>56</v>
      </c>
      <c r="D494" t="s">
        <v>11</v>
      </c>
      <c r="E494" t="s">
        <v>13</v>
      </c>
      <c r="F494">
        <v>2022</v>
      </c>
      <c r="G494" s="4">
        <v>56.000000000000007</v>
      </c>
      <c r="H494">
        <v>97</v>
      </c>
      <c r="I494">
        <f t="shared" si="7"/>
        <v>0</v>
      </c>
    </row>
    <row r="495" spans="1:9" x14ac:dyDescent="0.3">
      <c r="A495">
        <v>26</v>
      </c>
      <c r="B495">
        <v>11</v>
      </c>
      <c r="C495" s="4">
        <v>49</v>
      </c>
      <c r="D495" t="s">
        <v>11</v>
      </c>
      <c r="E495" t="s">
        <v>13</v>
      </c>
      <c r="F495">
        <v>2022</v>
      </c>
      <c r="G495" s="4">
        <v>49</v>
      </c>
      <c r="H495">
        <v>97</v>
      </c>
      <c r="I495">
        <f t="shared" si="7"/>
        <v>0</v>
      </c>
    </row>
    <row r="496" spans="1:9" x14ac:dyDescent="0.3">
      <c r="A496">
        <v>27</v>
      </c>
      <c r="B496">
        <v>11</v>
      </c>
      <c r="C496" s="4">
        <v>49</v>
      </c>
      <c r="D496" t="s">
        <v>11</v>
      </c>
      <c r="E496" t="s">
        <v>13</v>
      </c>
      <c r="F496">
        <v>2022</v>
      </c>
      <c r="G496" s="4">
        <v>49</v>
      </c>
      <c r="H496">
        <v>97</v>
      </c>
      <c r="I496">
        <f t="shared" si="7"/>
        <v>0</v>
      </c>
    </row>
    <row r="497" spans="1:9" x14ac:dyDescent="0.3">
      <c r="A497">
        <v>28</v>
      </c>
      <c r="B497">
        <v>11</v>
      </c>
      <c r="C497" s="4">
        <v>48</v>
      </c>
      <c r="D497" t="s">
        <v>11</v>
      </c>
      <c r="E497" t="s">
        <v>13</v>
      </c>
      <c r="F497">
        <v>2022</v>
      </c>
      <c r="G497" s="4">
        <v>48</v>
      </c>
      <c r="H497">
        <v>97</v>
      </c>
      <c r="I497">
        <f t="shared" si="7"/>
        <v>0</v>
      </c>
    </row>
    <row r="498" spans="1:9" x14ac:dyDescent="0.3">
      <c r="A498">
        <v>29</v>
      </c>
      <c r="B498">
        <v>11</v>
      </c>
      <c r="C498" s="4">
        <v>44</v>
      </c>
      <c r="D498" t="s">
        <v>11</v>
      </c>
      <c r="E498" t="s">
        <v>13</v>
      </c>
      <c r="F498">
        <v>2022</v>
      </c>
      <c r="G498" s="4">
        <v>44</v>
      </c>
      <c r="H498">
        <v>97</v>
      </c>
      <c r="I498">
        <f t="shared" si="7"/>
        <v>0</v>
      </c>
    </row>
    <row r="499" spans="1:9" x14ac:dyDescent="0.3">
      <c r="A499">
        <v>30</v>
      </c>
      <c r="B499">
        <v>11</v>
      </c>
      <c r="C499" s="4">
        <v>38</v>
      </c>
      <c r="D499" t="s">
        <v>11</v>
      </c>
      <c r="E499" t="s">
        <v>13</v>
      </c>
      <c r="F499">
        <v>2022</v>
      </c>
      <c r="G499" s="4">
        <v>38</v>
      </c>
      <c r="H499">
        <v>97</v>
      </c>
      <c r="I499">
        <f t="shared" si="7"/>
        <v>0</v>
      </c>
    </row>
    <row r="500" spans="1:9" x14ac:dyDescent="0.3">
      <c r="A500">
        <v>31</v>
      </c>
      <c r="B500">
        <v>11</v>
      </c>
      <c r="C500" s="4">
        <v>36</v>
      </c>
      <c r="D500" t="s">
        <v>11</v>
      </c>
      <c r="E500" t="s">
        <v>13</v>
      </c>
      <c r="F500">
        <v>2022</v>
      </c>
      <c r="G500" s="4">
        <v>36</v>
      </c>
      <c r="H500">
        <v>97</v>
      </c>
      <c r="I500">
        <f t="shared" si="7"/>
        <v>0</v>
      </c>
    </row>
    <row r="501" spans="1:9" x14ac:dyDescent="0.3">
      <c r="A501">
        <v>32</v>
      </c>
      <c r="B501">
        <v>11</v>
      </c>
      <c r="C501" s="4">
        <v>34</v>
      </c>
      <c r="D501" t="s">
        <v>11</v>
      </c>
      <c r="E501" t="s">
        <v>13</v>
      </c>
      <c r="F501">
        <v>2022</v>
      </c>
      <c r="G501" s="4">
        <v>34</v>
      </c>
      <c r="H501">
        <v>97</v>
      </c>
      <c r="I501">
        <f t="shared" si="7"/>
        <v>0</v>
      </c>
    </row>
    <row r="502" spans="1:9" x14ac:dyDescent="0.3">
      <c r="A502">
        <v>33</v>
      </c>
      <c r="B502">
        <v>11</v>
      </c>
      <c r="C502" s="4">
        <v>34</v>
      </c>
      <c r="D502" t="s">
        <v>11</v>
      </c>
      <c r="E502" t="s">
        <v>13</v>
      </c>
      <c r="F502">
        <v>2022</v>
      </c>
      <c r="G502" s="4">
        <v>34</v>
      </c>
      <c r="H502">
        <v>97</v>
      </c>
      <c r="I502">
        <f t="shared" si="7"/>
        <v>0</v>
      </c>
    </row>
    <row r="503" spans="1:9" x14ac:dyDescent="0.3">
      <c r="A503">
        <v>34</v>
      </c>
      <c r="B503">
        <v>11</v>
      </c>
      <c r="C503" s="4">
        <v>32</v>
      </c>
      <c r="D503" t="s">
        <v>11</v>
      </c>
      <c r="E503" t="s">
        <v>13</v>
      </c>
      <c r="F503">
        <v>2022</v>
      </c>
      <c r="G503" s="4">
        <v>32</v>
      </c>
      <c r="H503">
        <v>97</v>
      </c>
      <c r="I503">
        <f t="shared" si="7"/>
        <v>0</v>
      </c>
    </row>
    <row r="504" spans="1:9" x14ac:dyDescent="0.3">
      <c r="A504">
        <v>35</v>
      </c>
      <c r="B504">
        <v>11</v>
      </c>
      <c r="C504" s="4">
        <v>29</v>
      </c>
      <c r="D504" t="s">
        <v>11</v>
      </c>
      <c r="E504" t="s">
        <v>13</v>
      </c>
      <c r="F504">
        <v>2022</v>
      </c>
      <c r="G504" s="4">
        <v>29</v>
      </c>
      <c r="H504">
        <v>97</v>
      </c>
      <c r="I504">
        <f t="shared" si="7"/>
        <v>0</v>
      </c>
    </row>
    <row r="505" spans="1:9" x14ac:dyDescent="0.3">
      <c r="A505">
        <v>1</v>
      </c>
      <c r="B505">
        <v>9</v>
      </c>
      <c r="C505" s="4">
        <v>90</v>
      </c>
      <c r="D505" t="s">
        <v>8</v>
      </c>
      <c r="E505" t="s">
        <v>13</v>
      </c>
      <c r="F505">
        <v>2023</v>
      </c>
      <c r="G505" s="4">
        <v>90</v>
      </c>
      <c r="H505">
        <v>93</v>
      </c>
      <c r="I505">
        <f t="shared" si="7"/>
        <v>0</v>
      </c>
    </row>
    <row r="506" spans="1:9" x14ac:dyDescent="0.3">
      <c r="A506">
        <v>2</v>
      </c>
      <c r="B506">
        <v>9</v>
      </c>
      <c r="C506" s="4">
        <v>85</v>
      </c>
      <c r="D506" t="s">
        <v>8</v>
      </c>
      <c r="E506" t="s">
        <v>13</v>
      </c>
      <c r="F506">
        <v>2023</v>
      </c>
      <c r="G506" s="4">
        <v>85</v>
      </c>
      <c r="H506">
        <v>93</v>
      </c>
      <c r="I506">
        <f t="shared" si="7"/>
        <v>0</v>
      </c>
    </row>
    <row r="507" spans="1:9" x14ac:dyDescent="0.3">
      <c r="A507">
        <v>3</v>
      </c>
      <c r="B507">
        <v>9</v>
      </c>
      <c r="C507" s="4">
        <v>83</v>
      </c>
      <c r="D507" t="s">
        <v>8</v>
      </c>
      <c r="E507" t="s">
        <v>13</v>
      </c>
      <c r="F507">
        <v>2023</v>
      </c>
      <c r="G507" s="4">
        <v>83</v>
      </c>
      <c r="H507">
        <v>93</v>
      </c>
      <c r="I507">
        <f t="shared" si="7"/>
        <v>0</v>
      </c>
    </row>
    <row r="508" spans="1:9" x14ac:dyDescent="0.3">
      <c r="A508">
        <v>4</v>
      </c>
      <c r="B508">
        <v>9</v>
      </c>
      <c r="C508" s="4">
        <v>78</v>
      </c>
      <c r="D508" t="s">
        <v>10</v>
      </c>
      <c r="E508" t="s">
        <v>13</v>
      </c>
      <c r="F508">
        <v>2023</v>
      </c>
      <c r="G508" s="4">
        <v>78</v>
      </c>
      <c r="H508">
        <v>93</v>
      </c>
      <c r="I508">
        <f t="shared" si="7"/>
        <v>0</v>
      </c>
    </row>
    <row r="509" spans="1:9" x14ac:dyDescent="0.3">
      <c r="A509">
        <v>5</v>
      </c>
      <c r="B509">
        <v>9</v>
      </c>
      <c r="C509" s="4">
        <v>77</v>
      </c>
      <c r="D509" t="s">
        <v>10</v>
      </c>
      <c r="E509" t="s">
        <v>13</v>
      </c>
      <c r="F509">
        <v>2023</v>
      </c>
      <c r="G509" s="4">
        <v>77</v>
      </c>
      <c r="H509">
        <v>93</v>
      </c>
      <c r="I509">
        <f t="shared" si="7"/>
        <v>0</v>
      </c>
    </row>
    <row r="510" spans="1:9" x14ac:dyDescent="0.3">
      <c r="A510">
        <v>6</v>
      </c>
      <c r="B510">
        <v>9</v>
      </c>
      <c r="C510" s="4">
        <v>72</v>
      </c>
      <c r="D510" t="s">
        <v>10</v>
      </c>
      <c r="E510" t="s">
        <v>13</v>
      </c>
      <c r="F510">
        <v>2023</v>
      </c>
      <c r="G510" s="4">
        <v>72</v>
      </c>
      <c r="H510">
        <v>93</v>
      </c>
      <c r="I510">
        <f t="shared" si="7"/>
        <v>0</v>
      </c>
    </row>
    <row r="511" spans="1:9" x14ac:dyDescent="0.3">
      <c r="A511">
        <v>7</v>
      </c>
      <c r="B511">
        <v>9</v>
      </c>
      <c r="C511" s="4">
        <v>68</v>
      </c>
      <c r="D511" t="s">
        <v>10</v>
      </c>
      <c r="E511" t="s">
        <v>13</v>
      </c>
      <c r="F511">
        <v>2023</v>
      </c>
      <c r="G511" s="4">
        <v>68</v>
      </c>
      <c r="H511">
        <v>93</v>
      </c>
      <c r="I511">
        <f t="shared" si="7"/>
        <v>0</v>
      </c>
    </row>
    <row r="512" spans="1:9" x14ac:dyDescent="0.3">
      <c r="A512">
        <v>8</v>
      </c>
      <c r="B512">
        <v>9</v>
      </c>
      <c r="C512" s="4">
        <v>66</v>
      </c>
      <c r="D512" t="s">
        <v>10</v>
      </c>
      <c r="E512" t="s">
        <v>13</v>
      </c>
      <c r="F512">
        <v>2023</v>
      </c>
      <c r="G512" s="4">
        <v>66</v>
      </c>
      <c r="H512">
        <v>93</v>
      </c>
      <c r="I512">
        <f t="shared" si="7"/>
        <v>0</v>
      </c>
    </row>
    <row r="513" spans="1:9" x14ac:dyDescent="0.3">
      <c r="A513">
        <v>9</v>
      </c>
      <c r="B513">
        <v>9</v>
      </c>
      <c r="C513" s="4">
        <v>66</v>
      </c>
      <c r="D513" t="s">
        <v>10</v>
      </c>
      <c r="E513" t="s">
        <v>13</v>
      </c>
      <c r="F513">
        <v>2023</v>
      </c>
      <c r="G513" s="4">
        <v>66</v>
      </c>
      <c r="H513">
        <v>93</v>
      </c>
      <c r="I513">
        <f t="shared" si="7"/>
        <v>0</v>
      </c>
    </row>
    <row r="514" spans="1:9" x14ac:dyDescent="0.3">
      <c r="A514">
        <v>10</v>
      </c>
      <c r="B514">
        <v>9</v>
      </c>
      <c r="C514" s="4">
        <v>66</v>
      </c>
      <c r="D514" t="s">
        <v>10</v>
      </c>
      <c r="E514" t="s">
        <v>13</v>
      </c>
      <c r="F514">
        <v>2023</v>
      </c>
      <c r="G514" s="4">
        <v>66</v>
      </c>
      <c r="H514">
        <v>93</v>
      </c>
      <c r="I514">
        <f t="shared" si="7"/>
        <v>0</v>
      </c>
    </row>
    <row r="515" spans="1:9" x14ac:dyDescent="0.3">
      <c r="A515">
        <v>11</v>
      </c>
      <c r="B515">
        <v>9</v>
      </c>
      <c r="C515" s="4">
        <v>65</v>
      </c>
      <c r="D515" t="s">
        <v>10</v>
      </c>
      <c r="E515" t="s">
        <v>13</v>
      </c>
      <c r="F515">
        <v>2023</v>
      </c>
      <c r="G515" s="4">
        <v>65</v>
      </c>
      <c r="H515">
        <v>93</v>
      </c>
      <c r="I515">
        <f t="shared" ref="I515:I578" si="8">IF(C515&gt;=H515,1,0)</f>
        <v>0</v>
      </c>
    </row>
    <row r="516" spans="1:9" x14ac:dyDescent="0.3">
      <c r="A516">
        <v>12</v>
      </c>
      <c r="B516">
        <v>9</v>
      </c>
      <c r="C516" s="4">
        <v>64</v>
      </c>
      <c r="D516" t="s">
        <v>11</v>
      </c>
      <c r="E516" t="s">
        <v>13</v>
      </c>
      <c r="F516">
        <v>2023</v>
      </c>
      <c r="G516" s="4">
        <v>64</v>
      </c>
      <c r="H516">
        <v>93</v>
      </c>
      <c r="I516">
        <f t="shared" si="8"/>
        <v>0</v>
      </c>
    </row>
    <row r="517" spans="1:9" x14ac:dyDescent="0.3">
      <c r="A517">
        <v>13</v>
      </c>
      <c r="B517">
        <v>9</v>
      </c>
      <c r="C517" s="4">
        <v>63</v>
      </c>
      <c r="D517" t="s">
        <v>11</v>
      </c>
      <c r="E517" t="s">
        <v>13</v>
      </c>
      <c r="F517">
        <v>2023</v>
      </c>
      <c r="G517" s="4">
        <v>63</v>
      </c>
      <c r="H517">
        <v>93</v>
      </c>
      <c r="I517">
        <f t="shared" si="8"/>
        <v>0</v>
      </c>
    </row>
    <row r="518" spans="1:9" x14ac:dyDescent="0.3">
      <c r="A518">
        <v>14</v>
      </c>
      <c r="B518">
        <v>9</v>
      </c>
      <c r="C518" s="4">
        <v>61</v>
      </c>
      <c r="D518" t="s">
        <v>11</v>
      </c>
      <c r="E518" t="s">
        <v>13</v>
      </c>
      <c r="F518">
        <v>2023</v>
      </c>
      <c r="G518" s="4">
        <v>61</v>
      </c>
      <c r="H518">
        <v>93</v>
      </c>
      <c r="I518">
        <f t="shared" si="8"/>
        <v>0</v>
      </c>
    </row>
    <row r="519" spans="1:9" x14ac:dyDescent="0.3">
      <c r="A519">
        <v>15</v>
      </c>
      <c r="B519">
        <v>9</v>
      </c>
      <c r="C519" s="4">
        <v>60</v>
      </c>
      <c r="D519" t="s">
        <v>11</v>
      </c>
      <c r="E519" t="s">
        <v>13</v>
      </c>
      <c r="F519">
        <v>2023</v>
      </c>
      <c r="G519" s="4">
        <v>60</v>
      </c>
      <c r="H519">
        <v>93</v>
      </c>
      <c r="I519">
        <f t="shared" si="8"/>
        <v>0</v>
      </c>
    </row>
    <row r="520" spans="1:9" x14ac:dyDescent="0.3">
      <c r="A520">
        <v>16</v>
      </c>
      <c r="B520">
        <v>9</v>
      </c>
      <c r="C520" s="4">
        <v>57</v>
      </c>
      <c r="D520" t="s">
        <v>11</v>
      </c>
      <c r="E520" t="s">
        <v>13</v>
      </c>
      <c r="F520">
        <v>2023</v>
      </c>
      <c r="G520" s="4">
        <v>56.999999999999993</v>
      </c>
      <c r="H520">
        <v>93</v>
      </c>
      <c r="I520">
        <f t="shared" si="8"/>
        <v>0</v>
      </c>
    </row>
    <row r="521" spans="1:9" x14ac:dyDescent="0.3">
      <c r="A521">
        <v>17</v>
      </c>
      <c r="B521">
        <v>9</v>
      </c>
      <c r="C521" s="4">
        <v>57</v>
      </c>
      <c r="D521" t="s">
        <v>11</v>
      </c>
      <c r="E521" t="s">
        <v>13</v>
      </c>
      <c r="F521">
        <v>2023</v>
      </c>
      <c r="G521" s="4">
        <v>56.999999999999993</v>
      </c>
      <c r="H521">
        <v>93</v>
      </c>
      <c r="I521">
        <f t="shared" si="8"/>
        <v>0</v>
      </c>
    </row>
    <row r="522" spans="1:9" x14ac:dyDescent="0.3">
      <c r="A522">
        <v>18</v>
      </c>
      <c r="B522">
        <v>9</v>
      </c>
      <c r="C522" s="4">
        <v>57</v>
      </c>
      <c r="D522" t="s">
        <v>11</v>
      </c>
      <c r="E522" t="s">
        <v>13</v>
      </c>
      <c r="F522">
        <v>2023</v>
      </c>
      <c r="G522" s="4">
        <v>56.999999999999993</v>
      </c>
      <c r="H522">
        <v>93</v>
      </c>
      <c r="I522">
        <f t="shared" si="8"/>
        <v>0</v>
      </c>
    </row>
    <row r="523" spans="1:9" x14ac:dyDescent="0.3">
      <c r="A523">
        <v>19</v>
      </c>
      <c r="B523">
        <v>9</v>
      </c>
      <c r="C523" s="4">
        <v>56</v>
      </c>
      <c r="D523" t="s">
        <v>11</v>
      </c>
      <c r="E523" t="s">
        <v>13</v>
      </c>
      <c r="F523">
        <v>2023</v>
      </c>
      <c r="G523" s="4">
        <v>56.000000000000007</v>
      </c>
      <c r="H523">
        <v>93</v>
      </c>
      <c r="I523">
        <f t="shared" si="8"/>
        <v>0</v>
      </c>
    </row>
    <row r="524" spans="1:9" x14ac:dyDescent="0.3">
      <c r="A524">
        <v>20</v>
      </c>
      <c r="B524">
        <v>9</v>
      </c>
      <c r="C524" s="4">
        <v>56</v>
      </c>
      <c r="D524" t="s">
        <v>11</v>
      </c>
      <c r="E524" t="s">
        <v>13</v>
      </c>
      <c r="F524">
        <v>2023</v>
      </c>
      <c r="G524" s="4">
        <v>56.000000000000007</v>
      </c>
      <c r="H524">
        <v>93</v>
      </c>
      <c r="I524">
        <f t="shared" si="8"/>
        <v>0</v>
      </c>
    </row>
    <row r="525" spans="1:9" x14ac:dyDescent="0.3">
      <c r="A525">
        <v>21</v>
      </c>
      <c r="B525">
        <v>9</v>
      </c>
      <c r="C525" s="4">
        <v>55</v>
      </c>
      <c r="D525" t="s">
        <v>11</v>
      </c>
      <c r="E525" t="s">
        <v>13</v>
      </c>
      <c r="F525">
        <v>2023</v>
      </c>
      <c r="G525" s="4">
        <v>55.000000000000007</v>
      </c>
      <c r="H525">
        <v>93</v>
      </c>
      <c r="I525">
        <f t="shared" si="8"/>
        <v>0</v>
      </c>
    </row>
    <row r="526" spans="1:9" x14ac:dyDescent="0.3">
      <c r="A526">
        <v>22</v>
      </c>
      <c r="B526">
        <v>9</v>
      </c>
      <c r="C526" s="4">
        <v>54</v>
      </c>
      <c r="D526" t="s">
        <v>11</v>
      </c>
      <c r="E526" t="s">
        <v>13</v>
      </c>
      <c r="F526">
        <v>2023</v>
      </c>
      <c r="G526" s="4">
        <v>54</v>
      </c>
      <c r="H526">
        <v>93</v>
      </c>
      <c r="I526">
        <f t="shared" si="8"/>
        <v>0</v>
      </c>
    </row>
    <row r="527" spans="1:9" x14ac:dyDescent="0.3">
      <c r="A527">
        <v>23</v>
      </c>
      <c r="B527">
        <v>9</v>
      </c>
      <c r="C527" s="4">
        <v>53</v>
      </c>
      <c r="D527" t="s">
        <v>11</v>
      </c>
      <c r="E527" t="s">
        <v>13</v>
      </c>
      <c r="F527">
        <v>2023</v>
      </c>
      <c r="G527" s="4">
        <v>53</v>
      </c>
      <c r="H527">
        <v>93</v>
      </c>
      <c r="I527">
        <f t="shared" si="8"/>
        <v>0</v>
      </c>
    </row>
    <row r="528" spans="1:9" x14ac:dyDescent="0.3">
      <c r="A528">
        <v>24</v>
      </c>
      <c r="B528">
        <v>9</v>
      </c>
      <c r="C528" s="4">
        <v>52</v>
      </c>
      <c r="D528" t="s">
        <v>11</v>
      </c>
      <c r="E528" t="s">
        <v>13</v>
      </c>
      <c r="F528">
        <v>2023</v>
      </c>
      <c r="G528" s="4">
        <v>52</v>
      </c>
      <c r="H528">
        <v>93</v>
      </c>
      <c r="I528">
        <f t="shared" si="8"/>
        <v>0</v>
      </c>
    </row>
    <row r="529" spans="1:9" x14ac:dyDescent="0.3">
      <c r="A529">
        <v>25</v>
      </c>
      <c r="B529">
        <v>9</v>
      </c>
      <c r="C529" s="4">
        <v>51</v>
      </c>
      <c r="D529" t="s">
        <v>11</v>
      </c>
      <c r="E529" t="s">
        <v>13</v>
      </c>
      <c r="F529">
        <v>2023</v>
      </c>
      <c r="G529" s="4">
        <v>51</v>
      </c>
      <c r="H529">
        <v>93</v>
      </c>
      <c r="I529">
        <f t="shared" si="8"/>
        <v>0</v>
      </c>
    </row>
    <row r="530" spans="1:9" x14ac:dyDescent="0.3">
      <c r="A530">
        <v>26</v>
      </c>
      <c r="B530">
        <v>9</v>
      </c>
      <c r="C530" s="4">
        <v>48</v>
      </c>
      <c r="D530" t="s">
        <v>11</v>
      </c>
      <c r="E530" t="s">
        <v>13</v>
      </c>
      <c r="F530">
        <v>2023</v>
      </c>
      <c r="G530" s="4">
        <v>48</v>
      </c>
      <c r="H530">
        <v>93</v>
      </c>
      <c r="I530">
        <f t="shared" si="8"/>
        <v>0</v>
      </c>
    </row>
    <row r="531" spans="1:9" x14ac:dyDescent="0.3">
      <c r="A531">
        <v>27</v>
      </c>
      <c r="B531">
        <v>9</v>
      </c>
      <c r="C531" s="4">
        <v>47</v>
      </c>
      <c r="D531" t="s">
        <v>11</v>
      </c>
      <c r="E531" t="s">
        <v>13</v>
      </c>
      <c r="F531">
        <v>2023</v>
      </c>
      <c r="G531" s="4">
        <v>47</v>
      </c>
      <c r="H531">
        <v>93</v>
      </c>
      <c r="I531">
        <f t="shared" si="8"/>
        <v>0</v>
      </c>
    </row>
    <row r="532" spans="1:9" x14ac:dyDescent="0.3">
      <c r="A532">
        <v>28</v>
      </c>
      <c r="B532">
        <v>9</v>
      </c>
      <c r="C532" s="4">
        <v>42</v>
      </c>
      <c r="D532" t="s">
        <v>11</v>
      </c>
      <c r="E532" t="s">
        <v>13</v>
      </c>
      <c r="F532">
        <v>2023</v>
      </c>
      <c r="G532" s="4">
        <v>42</v>
      </c>
      <c r="H532">
        <v>93</v>
      </c>
      <c r="I532">
        <f t="shared" si="8"/>
        <v>0</v>
      </c>
    </row>
    <row r="533" spans="1:9" x14ac:dyDescent="0.3">
      <c r="A533">
        <v>29</v>
      </c>
      <c r="B533">
        <v>9</v>
      </c>
      <c r="C533" s="4">
        <v>42</v>
      </c>
      <c r="D533" t="s">
        <v>11</v>
      </c>
      <c r="E533" t="s">
        <v>13</v>
      </c>
      <c r="F533">
        <v>2023</v>
      </c>
      <c r="G533" s="4">
        <v>42</v>
      </c>
      <c r="H533">
        <v>93</v>
      </c>
      <c r="I533">
        <f t="shared" si="8"/>
        <v>0</v>
      </c>
    </row>
    <row r="534" spans="1:9" x14ac:dyDescent="0.3">
      <c r="A534">
        <v>30</v>
      </c>
      <c r="B534">
        <v>9</v>
      </c>
      <c r="C534" s="4">
        <v>41</v>
      </c>
      <c r="D534" t="s">
        <v>11</v>
      </c>
      <c r="E534" t="s">
        <v>13</v>
      </c>
      <c r="F534">
        <v>2023</v>
      </c>
      <c r="G534" s="4">
        <v>41</v>
      </c>
      <c r="H534">
        <v>93</v>
      </c>
      <c r="I534">
        <f t="shared" si="8"/>
        <v>0</v>
      </c>
    </row>
    <row r="535" spans="1:9" x14ac:dyDescent="0.3">
      <c r="A535">
        <v>31</v>
      </c>
      <c r="B535">
        <v>9</v>
      </c>
      <c r="C535" s="4">
        <v>32</v>
      </c>
      <c r="D535" t="s">
        <v>11</v>
      </c>
      <c r="E535" t="s">
        <v>13</v>
      </c>
      <c r="F535">
        <v>2023</v>
      </c>
      <c r="G535" s="4">
        <v>32</v>
      </c>
      <c r="H535">
        <v>93</v>
      </c>
      <c r="I535">
        <f t="shared" si="8"/>
        <v>0</v>
      </c>
    </row>
    <row r="536" spans="1:9" x14ac:dyDescent="0.3">
      <c r="A536">
        <v>1</v>
      </c>
      <c r="B536">
        <v>10</v>
      </c>
      <c r="C536" s="4">
        <v>96</v>
      </c>
      <c r="D536" t="s">
        <v>8</v>
      </c>
      <c r="E536" t="s">
        <v>13</v>
      </c>
      <c r="F536">
        <v>2023</v>
      </c>
      <c r="G536" s="4">
        <v>96</v>
      </c>
      <c r="H536">
        <v>96</v>
      </c>
      <c r="I536">
        <f t="shared" si="8"/>
        <v>1</v>
      </c>
    </row>
    <row r="537" spans="1:9" x14ac:dyDescent="0.3">
      <c r="A537">
        <v>2</v>
      </c>
      <c r="B537">
        <v>10</v>
      </c>
      <c r="C537" s="4">
        <v>95</v>
      </c>
      <c r="D537" t="s">
        <v>8</v>
      </c>
      <c r="E537" t="s">
        <v>13</v>
      </c>
      <c r="F537">
        <v>2023</v>
      </c>
      <c r="G537" s="4">
        <v>95</v>
      </c>
      <c r="H537">
        <v>96</v>
      </c>
      <c r="I537">
        <f t="shared" si="8"/>
        <v>0</v>
      </c>
    </row>
    <row r="538" spans="1:9" x14ac:dyDescent="0.3">
      <c r="A538">
        <v>3</v>
      </c>
      <c r="B538">
        <v>10</v>
      </c>
      <c r="C538" s="4">
        <v>90</v>
      </c>
      <c r="D538" t="s">
        <v>10</v>
      </c>
      <c r="E538" t="s">
        <v>13</v>
      </c>
      <c r="F538">
        <v>2023</v>
      </c>
      <c r="G538" s="4">
        <v>90</v>
      </c>
      <c r="H538">
        <v>96</v>
      </c>
      <c r="I538">
        <f t="shared" si="8"/>
        <v>0</v>
      </c>
    </row>
    <row r="539" spans="1:9" x14ac:dyDescent="0.3">
      <c r="A539">
        <v>4</v>
      </c>
      <c r="B539">
        <v>10</v>
      </c>
      <c r="C539" s="4">
        <v>87</v>
      </c>
      <c r="D539" t="s">
        <v>10</v>
      </c>
      <c r="E539" t="s">
        <v>13</v>
      </c>
      <c r="F539">
        <v>2023</v>
      </c>
      <c r="G539" s="4">
        <v>87</v>
      </c>
      <c r="H539">
        <v>96</v>
      </c>
      <c r="I539">
        <f t="shared" si="8"/>
        <v>0</v>
      </c>
    </row>
    <row r="540" spans="1:9" x14ac:dyDescent="0.3">
      <c r="A540">
        <v>5</v>
      </c>
      <c r="B540">
        <v>10</v>
      </c>
      <c r="C540" s="4">
        <v>86</v>
      </c>
      <c r="D540" t="s">
        <v>10</v>
      </c>
      <c r="E540" t="s">
        <v>13</v>
      </c>
      <c r="F540">
        <v>2023</v>
      </c>
      <c r="G540" s="4">
        <v>86</v>
      </c>
      <c r="H540">
        <v>96</v>
      </c>
      <c r="I540">
        <f t="shared" si="8"/>
        <v>0</v>
      </c>
    </row>
    <row r="541" spans="1:9" x14ac:dyDescent="0.3">
      <c r="A541">
        <v>6</v>
      </c>
      <c r="B541">
        <v>10</v>
      </c>
      <c r="C541" s="4">
        <v>85</v>
      </c>
      <c r="D541" t="s">
        <v>10</v>
      </c>
      <c r="E541" t="s">
        <v>13</v>
      </c>
      <c r="F541">
        <v>2023</v>
      </c>
      <c r="G541" s="4">
        <v>85</v>
      </c>
      <c r="H541">
        <v>96</v>
      </c>
      <c r="I541">
        <f t="shared" si="8"/>
        <v>0</v>
      </c>
    </row>
    <row r="542" spans="1:9" x14ac:dyDescent="0.3">
      <c r="A542">
        <v>7</v>
      </c>
      <c r="B542">
        <v>10</v>
      </c>
      <c r="C542" s="4">
        <v>80</v>
      </c>
      <c r="D542" t="s">
        <v>10</v>
      </c>
      <c r="E542" t="s">
        <v>13</v>
      </c>
      <c r="F542">
        <v>2023</v>
      </c>
      <c r="G542" s="4">
        <v>80</v>
      </c>
      <c r="H542">
        <v>96</v>
      </c>
      <c r="I542">
        <f t="shared" si="8"/>
        <v>0</v>
      </c>
    </row>
    <row r="543" spans="1:9" x14ac:dyDescent="0.3">
      <c r="A543">
        <v>8</v>
      </c>
      <c r="B543">
        <v>10</v>
      </c>
      <c r="C543" s="4">
        <v>76</v>
      </c>
      <c r="D543" t="s">
        <v>10</v>
      </c>
      <c r="E543" t="s">
        <v>13</v>
      </c>
      <c r="F543">
        <v>2023</v>
      </c>
      <c r="G543" s="4">
        <v>76</v>
      </c>
      <c r="H543">
        <v>96</v>
      </c>
      <c r="I543">
        <f t="shared" si="8"/>
        <v>0</v>
      </c>
    </row>
    <row r="544" spans="1:9" x14ac:dyDescent="0.3">
      <c r="A544">
        <v>9</v>
      </c>
      <c r="B544">
        <v>10</v>
      </c>
      <c r="C544" s="4">
        <v>76</v>
      </c>
      <c r="D544" t="s">
        <v>10</v>
      </c>
      <c r="E544" t="s">
        <v>13</v>
      </c>
      <c r="F544">
        <v>2023</v>
      </c>
      <c r="G544" s="4">
        <v>76</v>
      </c>
      <c r="H544">
        <v>96</v>
      </c>
      <c r="I544">
        <f t="shared" si="8"/>
        <v>0</v>
      </c>
    </row>
    <row r="545" spans="1:9" x14ac:dyDescent="0.3">
      <c r="A545">
        <v>10</v>
      </c>
      <c r="B545">
        <v>10</v>
      </c>
      <c r="C545" s="4">
        <v>75</v>
      </c>
      <c r="D545" t="s">
        <v>10</v>
      </c>
      <c r="E545" t="s">
        <v>13</v>
      </c>
      <c r="F545">
        <v>2023</v>
      </c>
      <c r="G545" s="4">
        <v>75</v>
      </c>
      <c r="H545">
        <v>96</v>
      </c>
      <c r="I545">
        <f t="shared" si="8"/>
        <v>0</v>
      </c>
    </row>
    <row r="546" spans="1:9" x14ac:dyDescent="0.3">
      <c r="A546">
        <v>11</v>
      </c>
      <c r="B546">
        <v>10</v>
      </c>
      <c r="C546" s="4">
        <v>73</v>
      </c>
      <c r="D546" t="s">
        <v>10</v>
      </c>
      <c r="E546" t="s">
        <v>13</v>
      </c>
      <c r="F546">
        <v>2023</v>
      </c>
      <c r="G546" s="4">
        <v>73</v>
      </c>
      <c r="H546">
        <v>96</v>
      </c>
      <c r="I546">
        <f t="shared" si="8"/>
        <v>0</v>
      </c>
    </row>
    <row r="547" spans="1:9" x14ac:dyDescent="0.3">
      <c r="A547">
        <v>12</v>
      </c>
      <c r="B547">
        <v>10</v>
      </c>
      <c r="C547" s="4">
        <v>69</v>
      </c>
      <c r="D547" t="s">
        <v>10</v>
      </c>
      <c r="E547" t="s">
        <v>13</v>
      </c>
      <c r="F547">
        <v>2023</v>
      </c>
      <c r="G547" s="4">
        <v>69</v>
      </c>
      <c r="H547">
        <v>96</v>
      </c>
      <c r="I547">
        <f t="shared" si="8"/>
        <v>0</v>
      </c>
    </row>
    <row r="548" spans="1:9" x14ac:dyDescent="0.3">
      <c r="A548">
        <v>13</v>
      </c>
      <c r="B548">
        <v>10</v>
      </c>
      <c r="C548" s="4">
        <v>69</v>
      </c>
      <c r="D548" t="s">
        <v>10</v>
      </c>
      <c r="E548" t="s">
        <v>13</v>
      </c>
      <c r="F548">
        <v>2023</v>
      </c>
      <c r="G548" s="4">
        <v>69</v>
      </c>
      <c r="H548">
        <v>96</v>
      </c>
      <c r="I548">
        <f t="shared" si="8"/>
        <v>0</v>
      </c>
    </row>
    <row r="549" spans="1:9" x14ac:dyDescent="0.3">
      <c r="A549">
        <v>14</v>
      </c>
      <c r="B549">
        <v>10</v>
      </c>
      <c r="C549" s="4">
        <v>67</v>
      </c>
      <c r="D549" t="s">
        <v>10</v>
      </c>
      <c r="E549" t="s">
        <v>13</v>
      </c>
      <c r="F549">
        <v>2023</v>
      </c>
      <c r="G549" s="4">
        <v>67</v>
      </c>
      <c r="H549">
        <v>96</v>
      </c>
      <c r="I549">
        <f t="shared" si="8"/>
        <v>0</v>
      </c>
    </row>
    <row r="550" spans="1:9" x14ac:dyDescent="0.3">
      <c r="A550">
        <v>15</v>
      </c>
      <c r="B550">
        <v>10</v>
      </c>
      <c r="C550" s="4">
        <v>66</v>
      </c>
      <c r="D550" t="s">
        <v>11</v>
      </c>
      <c r="E550" t="s">
        <v>13</v>
      </c>
      <c r="F550">
        <v>2023</v>
      </c>
      <c r="G550" s="4">
        <v>66</v>
      </c>
      <c r="H550">
        <v>96</v>
      </c>
      <c r="I550">
        <f t="shared" si="8"/>
        <v>0</v>
      </c>
    </row>
    <row r="551" spans="1:9" x14ac:dyDescent="0.3">
      <c r="A551">
        <v>16</v>
      </c>
      <c r="B551">
        <v>10</v>
      </c>
      <c r="C551" s="4">
        <v>65</v>
      </c>
      <c r="D551" t="s">
        <v>11</v>
      </c>
      <c r="E551" t="s">
        <v>13</v>
      </c>
      <c r="F551">
        <v>2023</v>
      </c>
      <c r="G551" s="4">
        <v>65</v>
      </c>
      <c r="H551">
        <v>96</v>
      </c>
      <c r="I551">
        <f t="shared" si="8"/>
        <v>0</v>
      </c>
    </row>
    <row r="552" spans="1:9" x14ac:dyDescent="0.3">
      <c r="A552">
        <v>17</v>
      </c>
      <c r="B552">
        <v>10</v>
      </c>
      <c r="C552" s="4">
        <v>64</v>
      </c>
      <c r="D552" t="s">
        <v>11</v>
      </c>
      <c r="E552" t="s">
        <v>13</v>
      </c>
      <c r="F552">
        <v>2023</v>
      </c>
      <c r="G552" s="4">
        <v>64</v>
      </c>
      <c r="H552">
        <v>96</v>
      </c>
      <c r="I552">
        <f t="shared" si="8"/>
        <v>0</v>
      </c>
    </row>
    <row r="553" spans="1:9" x14ac:dyDescent="0.3">
      <c r="A553">
        <v>18</v>
      </c>
      <c r="B553">
        <v>10</v>
      </c>
      <c r="C553" s="4">
        <v>64</v>
      </c>
      <c r="D553" t="s">
        <v>11</v>
      </c>
      <c r="E553" t="s">
        <v>13</v>
      </c>
      <c r="F553">
        <v>2023</v>
      </c>
      <c r="G553" s="4">
        <v>64</v>
      </c>
      <c r="H553">
        <v>96</v>
      </c>
      <c r="I553">
        <f t="shared" si="8"/>
        <v>0</v>
      </c>
    </row>
    <row r="554" spans="1:9" x14ac:dyDescent="0.3">
      <c r="A554">
        <v>19</v>
      </c>
      <c r="B554">
        <v>10</v>
      </c>
      <c r="C554" s="4">
        <v>64</v>
      </c>
      <c r="D554" t="s">
        <v>11</v>
      </c>
      <c r="E554" t="s">
        <v>13</v>
      </c>
      <c r="F554">
        <v>2023</v>
      </c>
      <c r="G554" s="4">
        <v>64</v>
      </c>
      <c r="H554">
        <v>96</v>
      </c>
      <c r="I554">
        <f t="shared" si="8"/>
        <v>0</v>
      </c>
    </row>
    <row r="555" spans="1:9" x14ac:dyDescent="0.3">
      <c r="A555">
        <v>20</v>
      </c>
      <c r="B555">
        <v>10</v>
      </c>
      <c r="C555" s="4">
        <v>59</v>
      </c>
      <c r="D555" t="s">
        <v>11</v>
      </c>
      <c r="E555" t="s">
        <v>13</v>
      </c>
      <c r="F555">
        <v>2023</v>
      </c>
      <c r="G555" s="4">
        <v>59</v>
      </c>
      <c r="H555">
        <v>96</v>
      </c>
      <c r="I555">
        <f t="shared" si="8"/>
        <v>0</v>
      </c>
    </row>
    <row r="556" spans="1:9" x14ac:dyDescent="0.3">
      <c r="A556">
        <v>21</v>
      </c>
      <c r="B556">
        <v>10</v>
      </c>
      <c r="C556" s="4">
        <v>58</v>
      </c>
      <c r="D556" t="s">
        <v>11</v>
      </c>
      <c r="E556" t="s">
        <v>13</v>
      </c>
      <c r="F556">
        <v>2023</v>
      </c>
      <c r="G556" s="4">
        <v>57.999999999999993</v>
      </c>
      <c r="H556">
        <v>96</v>
      </c>
      <c r="I556">
        <f t="shared" si="8"/>
        <v>0</v>
      </c>
    </row>
    <row r="557" spans="1:9" x14ac:dyDescent="0.3">
      <c r="A557">
        <v>22</v>
      </c>
      <c r="B557">
        <v>10</v>
      </c>
      <c r="C557" s="4">
        <v>57</v>
      </c>
      <c r="D557" t="s">
        <v>11</v>
      </c>
      <c r="E557" t="s">
        <v>13</v>
      </c>
      <c r="F557">
        <v>2023</v>
      </c>
      <c r="G557" s="4">
        <v>56.999999999999993</v>
      </c>
      <c r="H557">
        <v>96</v>
      </c>
      <c r="I557">
        <f t="shared" si="8"/>
        <v>0</v>
      </c>
    </row>
    <row r="558" spans="1:9" x14ac:dyDescent="0.3">
      <c r="A558">
        <v>23</v>
      </c>
      <c r="B558">
        <v>10</v>
      </c>
      <c r="C558" s="4">
        <v>54</v>
      </c>
      <c r="D558" t="s">
        <v>11</v>
      </c>
      <c r="E558" t="s">
        <v>13</v>
      </c>
      <c r="F558">
        <v>2023</v>
      </c>
      <c r="G558" s="4">
        <v>54</v>
      </c>
      <c r="H558">
        <v>96</v>
      </c>
      <c r="I558">
        <f t="shared" si="8"/>
        <v>0</v>
      </c>
    </row>
    <row r="559" spans="1:9" x14ac:dyDescent="0.3">
      <c r="A559">
        <v>24</v>
      </c>
      <c r="B559">
        <v>10</v>
      </c>
      <c r="C559" s="4">
        <v>53</v>
      </c>
      <c r="D559" t="s">
        <v>11</v>
      </c>
      <c r="E559" t="s">
        <v>13</v>
      </c>
      <c r="F559">
        <v>2023</v>
      </c>
      <c r="G559" s="4">
        <v>53</v>
      </c>
      <c r="H559">
        <v>96</v>
      </c>
      <c r="I559">
        <f t="shared" si="8"/>
        <v>0</v>
      </c>
    </row>
    <row r="560" spans="1:9" x14ac:dyDescent="0.3">
      <c r="A560">
        <v>25</v>
      </c>
      <c r="B560">
        <v>10</v>
      </c>
      <c r="C560" s="4">
        <v>52</v>
      </c>
      <c r="D560" t="s">
        <v>11</v>
      </c>
      <c r="E560" t="s">
        <v>13</v>
      </c>
      <c r="F560">
        <v>2023</v>
      </c>
      <c r="G560" s="4">
        <v>52</v>
      </c>
      <c r="H560">
        <v>96</v>
      </c>
      <c r="I560">
        <f t="shared" si="8"/>
        <v>0</v>
      </c>
    </row>
    <row r="561" spans="1:9" x14ac:dyDescent="0.3">
      <c r="A561">
        <v>26</v>
      </c>
      <c r="B561">
        <v>10</v>
      </c>
      <c r="C561" s="4">
        <v>51</v>
      </c>
      <c r="D561" t="s">
        <v>11</v>
      </c>
      <c r="E561" t="s">
        <v>13</v>
      </c>
      <c r="F561">
        <v>2023</v>
      </c>
      <c r="G561" s="4">
        <v>51</v>
      </c>
      <c r="H561">
        <v>96</v>
      </c>
      <c r="I561">
        <f t="shared" si="8"/>
        <v>0</v>
      </c>
    </row>
    <row r="562" spans="1:9" x14ac:dyDescent="0.3">
      <c r="A562">
        <v>27</v>
      </c>
      <c r="B562">
        <v>10</v>
      </c>
      <c r="C562" s="4">
        <v>51</v>
      </c>
      <c r="D562" t="s">
        <v>11</v>
      </c>
      <c r="E562" t="s">
        <v>13</v>
      </c>
      <c r="F562">
        <v>2023</v>
      </c>
      <c r="G562" s="4">
        <v>51</v>
      </c>
      <c r="H562">
        <v>96</v>
      </c>
      <c r="I562">
        <f t="shared" si="8"/>
        <v>0</v>
      </c>
    </row>
    <row r="563" spans="1:9" x14ac:dyDescent="0.3">
      <c r="A563">
        <v>28</v>
      </c>
      <c r="B563">
        <v>10</v>
      </c>
      <c r="C563" s="4">
        <v>47</v>
      </c>
      <c r="D563" t="s">
        <v>11</v>
      </c>
      <c r="E563" t="s">
        <v>13</v>
      </c>
      <c r="F563">
        <v>2023</v>
      </c>
      <c r="G563" s="4">
        <v>47</v>
      </c>
      <c r="H563">
        <v>96</v>
      </c>
      <c r="I563">
        <f t="shared" si="8"/>
        <v>0</v>
      </c>
    </row>
    <row r="564" spans="1:9" x14ac:dyDescent="0.3">
      <c r="A564">
        <v>29</v>
      </c>
      <c r="B564">
        <v>10</v>
      </c>
      <c r="C564" s="4">
        <v>47</v>
      </c>
      <c r="D564" t="s">
        <v>11</v>
      </c>
      <c r="E564" t="s">
        <v>13</v>
      </c>
      <c r="F564">
        <v>2023</v>
      </c>
      <c r="G564" s="4">
        <v>47</v>
      </c>
      <c r="H564">
        <v>96</v>
      </c>
      <c r="I564">
        <f t="shared" si="8"/>
        <v>0</v>
      </c>
    </row>
    <row r="565" spans="1:9" x14ac:dyDescent="0.3">
      <c r="A565">
        <v>30</v>
      </c>
      <c r="B565">
        <v>10</v>
      </c>
      <c r="C565" s="4">
        <v>47</v>
      </c>
      <c r="D565" t="s">
        <v>11</v>
      </c>
      <c r="E565" t="s">
        <v>13</v>
      </c>
      <c r="F565">
        <v>2023</v>
      </c>
      <c r="G565" s="4">
        <v>47</v>
      </c>
      <c r="H565">
        <v>96</v>
      </c>
      <c r="I565">
        <f t="shared" si="8"/>
        <v>0</v>
      </c>
    </row>
    <row r="566" spans="1:9" x14ac:dyDescent="0.3">
      <c r="A566">
        <v>31</v>
      </c>
      <c r="B566">
        <v>10</v>
      </c>
      <c r="C566" s="4">
        <v>41</v>
      </c>
      <c r="D566" t="s">
        <v>11</v>
      </c>
      <c r="E566" t="s">
        <v>13</v>
      </c>
      <c r="F566">
        <v>2023</v>
      </c>
      <c r="G566" s="4">
        <v>41</v>
      </c>
      <c r="H566">
        <v>96</v>
      </c>
      <c r="I566">
        <f t="shared" si="8"/>
        <v>0</v>
      </c>
    </row>
    <row r="567" spans="1:9" x14ac:dyDescent="0.3">
      <c r="A567">
        <v>32</v>
      </c>
      <c r="B567">
        <v>10</v>
      </c>
      <c r="C567" s="4">
        <v>41</v>
      </c>
      <c r="D567" t="s">
        <v>11</v>
      </c>
      <c r="E567" t="s">
        <v>13</v>
      </c>
      <c r="F567">
        <v>2023</v>
      </c>
      <c r="G567" s="4">
        <v>41</v>
      </c>
      <c r="H567">
        <v>96</v>
      </c>
      <c r="I567">
        <f t="shared" si="8"/>
        <v>0</v>
      </c>
    </row>
    <row r="568" spans="1:9" x14ac:dyDescent="0.3">
      <c r="A568">
        <v>33</v>
      </c>
      <c r="B568">
        <v>10</v>
      </c>
      <c r="C568" s="4">
        <v>41</v>
      </c>
      <c r="D568" t="s">
        <v>11</v>
      </c>
      <c r="E568" t="s">
        <v>13</v>
      </c>
      <c r="F568">
        <v>2023</v>
      </c>
      <c r="G568" s="4">
        <v>41</v>
      </c>
      <c r="H568">
        <v>96</v>
      </c>
      <c r="I568">
        <f t="shared" si="8"/>
        <v>0</v>
      </c>
    </row>
    <row r="569" spans="1:9" x14ac:dyDescent="0.3">
      <c r="A569">
        <v>34</v>
      </c>
      <c r="B569">
        <v>10</v>
      </c>
      <c r="C569" s="4">
        <v>41</v>
      </c>
      <c r="D569" t="s">
        <v>11</v>
      </c>
      <c r="E569" t="s">
        <v>13</v>
      </c>
      <c r="F569">
        <v>2023</v>
      </c>
      <c r="G569" s="4">
        <v>41</v>
      </c>
      <c r="H569">
        <v>96</v>
      </c>
      <c r="I569">
        <f t="shared" si="8"/>
        <v>0</v>
      </c>
    </row>
    <row r="570" spans="1:9" x14ac:dyDescent="0.3">
      <c r="A570">
        <v>35</v>
      </c>
      <c r="B570">
        <v>10</v>
      </c>
      <c r="C570" s="4">
        <v>37</v>
      </c>
      <c r="D570" t="s">
        <v>11</v>
      </c>
      <c r="E570" t="s">
        <v>13</v>
      </c>
      <c r="F570">
        <v>2023</v>
      </c>
      <c r="G570" s="4">
        <v>37</v>
      </c>
      <c r="H570">
        <v>96</v>
      </c>
      <c r="I570">
        <f t="shared" si="8"/>
        <v>0</v>
      </c>
    </row>
    <row r="571" spans="1:9" x14ac:dyDescent="0.3">
      <c r="A571">
        <v>1</v>
      </c>
      <c r="B571">
        <v>11</v>
      </c>
      <c r="C571" s="4">
        <v>90</v>
      </c>
      <c r="D571" t="s">
        <v>8</v>
      </c>
      <c r="E571" t="s">
        <v>13</v>
      </c>
      <c r="F571">
        <v>2023</v>
      </c>
      <c r="G571" s="4">
        <v>90</v>
      </c>
      <c r="H571">
        <v>95</v>
      </c>
      <c r="I571">
        <f t="shared" si="8"/>
        <v>0</v>
      </c>
    </row>
    <row r="572" spans="1:9" x14ac:dyDescent="0.3">
      <c r="A572">
        <v>2</v>
      </c>
      <c r="B572">
        <v>11</v>
      </c>
      <c r="C572" s="4">
        <v>87</v>
      </c>
      <c r="D572" t="s">
        <v>8</v>
      </c>
      <c r="E572" t="s">
        <v>13</v>
      </c>
      <c r="F572">
        <v>2023</v>
      </c>
      <c r="G572" s="4">
        <v>87</v>
      </c>
      <c r="H572">
        <v>95</v>
      </c>
      <c r="I572">
        <f t="shared" si="8"/>
        <v>0</v>
      </c>
    </row>
    <row r="573" spans="1:9" x14ac:dyDescent="0.3">
      <c r="A573">
        <v>3</v>
      </c>
      <c r="B573">
        <v>11</v>
      </c>
      <c r="C573" s="4">
        <v>76</v>
      </c>
      <c r="D573" t="s">
        <v>10</v>
      </c>
      <c r="E573" t="s">
        <v>13</v>
      </c>
      <c r="F573">
        <v>2023</v>
      </c>
      <c r="G573" s="4">
        <v>76</v>
      </c>
      <c r="H573">
        <v>95</v>
      </c>
      <c r="I573">
        <f t="shared" si="8"/>
        <v>0</v>
      </c>
    </row>
    <row r="574" spans="1:9" x14ac:dyDescent="0.3">
      <c r="A574">
        <v>4</v>
      </c>
      <c r="B574">
        <v>11</v>
      </c>
      <c r="C574" s="4">
        <v>73</v>
      </c>
      <c r="D574" t="s">
        <v>10</v>
      </c>
      <c r="E574" t="s">
        <v>13</v>
      </c>
      <c r="F574">
        <v>2023</v>
      </c>
      <c r="G574" s="4">
        <v>73</v>
      </c>
      <c r="H574">
        <v>95</v>
      </c>
      <c r="I574">
        <f t="shared" si="8"/>
        <v>0</v>
      </c>
    </row>
    <row r="575" spans="1:9" x14ac:dyDescent="0.3">
      <c r="A575">
        <v>5</v>
      </c>
      <c r="B575">
        <v>11</v>
      </c>
      <c r="C575" s="4">
        <v>72</v>
      </c>
      <c r="D575" t="s">
        <v>10</v>
      </c>
      <c r="E575" t="s">
        <v>13</v>
      </c>
      <c r="F575">
        <v>2023</v>
      </c>
      <c r="G575" s="4">
        <v>72</v>
      </c>
      <c r="H575">
        <v>95</v>
      </c>
      <c r="I575">
        <f t="shared" si="8"/>
        <v>0</v>
      </c>
    </row>
    <row r="576" spans="1:9" x14ac:dyDescent="0.3">
      <c r="A576">
        <v>6</v>
      </c>
      <c r="B576">
        <v>11</v>
      </c>
      <c r="C576" s="4">
        <v>71</v>
      </c>
      <c r="D576" t="s">
        <v>10</v>
      </c>
      <c r="E576" t="s">
        <v>13</v>
      </c>
      <c r="F576">
        <v>2023</v>
      </c>
      <c r="G576" s="4">
        <v>71</v>
      </c>
      <c r="H576">
        <v>95</v>
      </c>
      <c r="I576">
        <f t="shared" si="8"/>
        <v>0</v>
      </c>
    </row>
    <row r="577" spans="1:9" x14ac:dyDescent="0.3">
      <c r="A577">
        <v>7</v>
      </c>
      <c r="B577">
        <v>11</v>
      </c>
      <c r="C577" s="4">
        <v>69</v>
      </c>
      <c r="D577" t="s">
        <v>10</v>
      </c>
      <c r="E577" t="s">
        <v>13</v>
      </c>
      <c r="F577">
        <v>2023</v>
      </c>
      <c r="G577" s="4">
        <v>69</v>
      </c>
      <c r="H577">
        <v>95</v>
      </c>
      <c r="I577">
        <f t="shared" si="8"/>
        <v>0</v>
      </c>
    </row>
    <row r="578" spans="1:9" x14ac:dyDescent="0.3">
      <c r="A578">
        <v>8</v>
      </c>
      <c r="B578">
        <v>11</v>
      </c>
      <c r="C578" s="4">
        <v>68</v>
      </c>
      <c r="D578" t="s">
        <v>10</v>
      </c>
      <c r="E578" t="s">
        <v>13</v>
      </c>
      <c r="F578">
        <v>2023</v>
      </c>
      <c r="G578" s="4">
        <v>68</v>
      </c>
      <c r="H578">
        <v>95</v>
      </c>
      <c r="I578">
        <f t="shared" si="8"/>
        <v>0</v>
      </c>
    </row>
    <row r="579" spans="1:9" x14ac:dyDescent="0.3">
      <c r="A579">
        <v>9</v>
      </c>
      <c r="B579">
        <v>11</v>
      </c>
      <c r="C579" s="4">
        <v>61</v>
      </c>
      <c r="D579" t="s">
        <v>10</v>
      </c>
      <c r="E579" t="s">
        <v>13</v>
      </c>
      <c r="F579">
        <v>2023</v>
      </c>
      <c r="G579" s="4">
        <v>61</v>
      </c>
      <c r="H579">
        <v>95</v>
      </c>
      <c r="I579">
        <f t="shared" ref="I579:I642" si="9">IF(C579&gt;=H579,1,0)</f>
        <v>0</v>
      </c>
    </row>
    <row r="580" spans="1:9" x14ac:dyDescent="0.3">
      <c r="A580">
        <v>10</v>
      </c>
      <c r="B580">
        <v>11</v>
      </c>
      <c r="C580" s="4">
        <v>58</v>
      </c>
      <c r="D580" t="s">
        <v>11</v>
      </c>
      <c r="E580" t="s">
        <v>13</v>
      </c>
      <c r="F580">
        <v>2023</v>
      </c>
      <c r="G580" s="4">
        <v>57.999999999999993</v>
      </c>
      <c r="H580">
        <v>95</v>
      </c>
      <c r="I580">
        <f t="shared" si="9"/>
        <v>0</v>
      </c>
    </row>
    <row r="581" spans="1:9" x14ac:dyDescent="0.3">
      <c r="A581">
        <v>11</v>
      </c>
      <c r="B581">
        <v>11</v>
      </c>
      <c r="C581" s="4">
        <v>58</v>
      </c>
      <c r="D581" t="s">
        <v>11</v>
      </c>
      <c r="E581" t="s">
        <v>13</v>
      </c>
      <c r="F581">
        <v>2023</v>
      </c>
      <c r="G581" s="4">
        <v>57.999999999999993</v>
      </c>
      <c r="H581">
        <v>95</v>
      </c>
      <c r="I581">
        <f t="shared" si="9"/>
        <v>0</v>
      </c>
    </row>
    <row r="582" spans="1:9" x14ac:dyDescent="0.3">
      <c r="A582">
        <v>12</v>
      </c>
      <c r="B582">
        <v>11</v>
      </c>
      <c r="C582" s="4">
        <v>56</v>
      </c>
      <c r="D582" t="s">
        <v>11</v>
      </c>
      <c r="E582" t="s">
        <v>13</v>
      </c>
      <c r="F582">
        <v>2023</v>
      </c>
      <c r="G582" s="4">
        <v>56.000000000000007</v>
      </c>
      <c r="H582">
        <v>95</v>
      </c>
      <c r="I582">
        <f t="shared" si="9"/>
        <v>0</v>
      </c>
    </row>
    <row r="583" spans="1:9" x14ac:dyDescent="0.3">
      <c r="A583">
        <v>13</v>
      </c>
      <c r="B583">
        <v>11</v>
      </c>
      <c r="C583" s="4">
        <v>54</v>
      </c>
      <c r="D583" t="s">
        <v>11</v>
      </c>
      <c r="E583" t="s">
        <v>13</v>
      </c>
      <c r="F583">
        <v>2023</v>
      </c>
      <c r="G583" s="4">
        <v>54</v>
      </c>
      <c r="H583">
        <v>95</v>
      </c>
      <c r="I583">
        <f t="shared" si="9"/>
        <v>0</v>
      </c>
    </row>
    <row r="584" spans="1:9" x14ac:dyDescent="0.3">
      <c r="A584">
        <v>14</v>
      </c>
      <c r="B584">
        <v>11</v>
      </c>
      <c r="C584" s="4">
        <v>53</v>
      </c>
      <c r="D584" t="s">
        <v>11</v>
      </c>
      <c r="E584" t="s">
        <v>13</v>
      </c>
      <c r="F584">
        <v>2023</v>
      </c>
      <c r="G584" s="4">
        <v>53</v>
      </c>
      <c r="H584">
        <v>95</v>
      </c>
      <c r="I584">
        <f t="shared" si="9"/>
        <v>0</v>
      </c>
    </row>
    <row r="585" spans="1:9" x14ac:dyDescent="0.3">
      <c r="A585">
        <v>15</v>
      </c>
      <c r="B585">
        <v>11</v>
      </c>
      <c r="C585" s="4">
        <v>51</v>
      </c>
      <c r="D585" t="s">
        <v>11</v>
      </c>
      <c r="E585" t="s">
        <v>13</v>
      </c>
      <c r="F585">
        <v>2023</v>
      </c>
      <c r="G585" s="4">
        <v>51</v>
      </c>
      <c r="H585">
        <v>95</v>
      </c>
      <c r="I585">
        <f t="shared" si="9"/>
        <v>0</v>
      </c>
    </row>
    <row r="586" spans="1:9" x14ac:dyDescent="0.3">
      <c r="A586">
        <v>16</v>
      </c>
      <c r="B586">
        <v>11</v>
      </c>
      <c r="C586" s="4">
        <v>50</v>
      </c>
      <c r="D586" t="s">
        <v>11</v>
      </c>
      <c r="E586" t="s">
        <v>13</v>
      </c>
      <c r="F586">
        <v>2023</v>
      </c>
      <c r="G586" s="4">
        <v>50</v>
      </c>
      <c r="H586">
        <v>95</v>
      </c>
      <c r="I586">
        <f t="shared" si="9"/>
        <v>0</v>
      </c>
    </row>
    <row r="587" spans="1:9" x14ac:dyDescent="0.3">
      <c r="A587">
        <v>17</v>
      </c>
      <c r="B587">
        <v>11</v>
      </c>
      <c r="C587" s="4">
        <v>50</v>
      </c>
      <c r="D587" t="s">
        <v>11</v>
      </c>
      <c r="E587" t="s">
        <v>13</v>
      </c>
      <c r="F587">
        <v>2023</v>
      </c>
      <c r="G587" s="4">
        <v>50</v>
      </c>
      <c r="H587">
        <v>95</v>
      </c>
      <c r="I587">
        <f t="shared" si="9"/>
        <v>0</v>
      </c>
    </row>
    <row r="588" spans="1:9" x14ac:dyDescent="0.3">
      <c r="A588">
        <v>18</v>
      </c>
      <c r="B588">
        <v>11</v>
      </c>
      <c r="C588" s="4">
        <v>48</v>
      </c>
      <c r="D588" t="s">
        <v>11</v>
      </c>
      <c r="E588" t="s">
        <v>13</v>
      </c>
      <c r="F588">
        <v>2023</v>
      </c>
      <c r="G588" s="4">
        <v>48</v>
      </c>
      <c r="H588">
        <v>95</v>
      </c>
      <c r="I588">
        <f t="shared" si="9"/>
        <v>0</v>
      </c>
    </row>
    <row r="589" spans="1:9" x14ac:dyDescent="0.3">
      <c r="A589">
        <v>19</v>
      </c>
      <c r="B589">
        <v>11</v>
      </c>
      <c r="C589" s="4">
        <v>46</v>
      </c>
      <c r="D589" t="s">
        <v>11</v>
      </c>
      <c r="E589" t="s">
        <v>13</v>
      </c>
      <c r="F589">
        <v>2023</v>
      </c>
      <c r="G589" s="4">
        <v>46</v>
      </c>
      <c r="H589">
        <v>95</v>
      </c>
      <c r="I589">
        <f t="shared" si="9"/>
        <v>0</v>
      </c>
    </row>
    <row r="590" spans="1:9" x14ac:dyDescent="0.3">
      <c r="A590">
        <v>20</v>
      </c>
      <c r="B590">
        <v>11</v>
      </c>
      <c r="C590" s="4">
        <v>44</v>
      </c>
      <c r="D590" t="s">
        <v>11</v>
      </c>
      <c r="E590" t="s">
        <v>13</v>
      </c>
      <c r="F590">
        <v>2023</v>
      </c>
      <c r="G590" s="4">
        <v>44</v>
      </c>
      <c r="H590">
        <v>95</v>
      </c>
      <c r="I590">
        <f t="shared" si="9"/>
        <v>0</v>
      </c>
    </row>
    <row r="591" spans="1:9" x14ac:dyDescent="0.3">
      <c r="A591">
        <v>21</v>
      </c>
      <c r="B591">
        <v>11</v>
      </c>
      <c r="C591" s="4">
        <v>43</v>
      </c>
      <c r="D591" t="s">
        <v>11</v>
      </c>
      <c r="E591" t="s">
        <v>13</v>
      </c>
      <c r="F591">
        <v>2023</v>
      </c>
      <c r="G591" s="4">
        <v>43</v>
      </c>
      <c r="H591">
        <v>95</v>
      </c>
      <c r="I591">
        <f t="shared" si="9"/>
        <v>0</v>
      </c>
    </row>
    <row r="592" spans="1:9" x14ac:dyDescent="0.3">
      <c r="A592">
        <v>22</v>
      </c>
      <c r="B592">
        <v>11</v>
      </c>
      <c r="C592" s="4">
        <v>43</v>
      </c>
      <c r="D592" t="s">
        <v>11</v>
      </c>
      <c r="E592" t="s">
        <v>13</v>
      </c>
      <c r="F592">
        <v>2023</v>
      </c>
      <c r="G592" s="4">
        <v>43</v>
      </c>
      <c r="H592">
        <v>95</v>
      </c>
      <c r="I592">
        <f t="shared" si="9"/>
        <v>0</v>
      </c>
    </row>
    <row r="593" spans="1:9" x14ac:dyDescent="0.3">
      <c r="A593">
        <v>23</v>
      </c>
      <c r="B593">
        <v>11</v>
      </c>
      <c r="C593" s="4">
        <v>43</v>
      </c>
      <c r="D593" t="s">
        <v>11</v>
      </c>
      <c r="E593" t="s">
        <v>13</v>
      </c>
      <c r="F593">
        <v>2023</v>
      </c>
      <c r="G593" s="4">
        <v>43</v>
      </c>
      <c r="H593">
        <v>95</v>
      </c>
      <c r="I593">
        <f t="shared" si="9"/>
        <v>0</v>
      </c>
    </row>
    <row r="594" spans="1:9" x14ac:dyDescent="0.3">
      <c r="A594">
        <v>24</v>
      </c>
      <c r="B594">
        <v>11</v>
      </c>
      <c r="C594" s="4">
        <v>42</v>
      </c>
      <c r="D594" t="s">
        <v>11</v>
      </c>
      <c r="E594" t="s">
        <v>13</v>
      </c>
      <c r="F594">
        <v>2023</v>
      </c>
      <c r="G594" s="4">
        <v>42</v>
      </c>
      <c r="H594">
        <v>95</v>
      </c>
      <c r="I594">
        <f t="shared" si="9"/>
        <v>0</v>
      </c>
    </row>
    <row r="595" spans="1:9" x14ac:dyDescent="0.3">
      <c r="A595">
        <v>25</v>
      </c>
      <c r="B595">
        <v>11</v>
      </c>
      <c r="C595" s="4">
        <v>41</v>
      </c>
      <c r="D595" t="s">
        <v>11</v>
      </c>
      <c r="E595" t="s">
        <v>13</v>
      </c>
      <c r="F595">
        <v>2023</v>
      </c>
      <c r="G595" s="4">
        <v>41</v>
      </c>
      <c r="H595">
        <v>95</v>
      </c>
      <c r="I595">
        <f t="shared" si="9"/>
        <v>0</v>
      </c>
    </row>
    <row r="596" spans="1:9" x14ac:dyDescent="0.3">
      <c r="A596">
        <v>26</v>
      </c>
      <c r="B596">
        <v>11</v>
      </c>
      <c r="C596" s="4">
        <v>38</v>
      </c>
      <c r="D596" t="s">
        <v>11</v>
      </c>
      <c r="E596" t="s">
        <v>13</v>
      </c>
      <c r="F596">
        <v>2023</v>
      </c>
      <c r="G596" s="4">
        <v>38</v>
      </c>
      <c r="H596">
        <v>95</v>
      </c>
      <c r="I596">
        <f t="shared" si="9"/>
        <v>0</v>
      </c>
    </row>
    <row r="597" spans="1:9" x14ac:dyDescent="0.3">
      <c r="A597">
        <v>27</v>
      </c>
      <c r="B597">
        <v>11</v>
      </c>
      <c r="C597" s="4">
        <v>36</v>
      </c>
      <c r="D597" t="s">
        <v>11</v>
      </c>
      <c r="E597" t="s">
        <v>13</v>
      </c>
      <c r="F597">
        <v>2023</v>
      </c>
      <c r="G597" s="4">
        <v>36</v>
      </c>
      <c r="H597">
        <v>95</v>
      </c>
      <c r="I597">
        <f t="shared" si="9"/>
        <v>0</v>
      </c>
    </row>
    <row r="598" spans="1:9" x14ac:dyDescent="0.3">
      <c r="A598">
        <v>28</v>
      </c>
      <c r="B598">
        <v>11</v>
      </c>
      <c r="C598" s="4">
        <v>28</v>
      </c>
      <c r="D598" t="s">
        <v>11</v>
      </c>
      <c r="E598" t="s">
        <v>13</v>
      </c>
      <c r="F598">
        <v>2023</v>
      </c>
      <c r="G598" s="4">
        <v>28</v>
      </c>
      <c r="H598">
        <v>95</v>
      </c>
      <c r="I598">
        <f t="shared" si="9"/>
        <v>0</v>
      </c>
    </row>
    <row r="599" spans="1:9" x14ac:dyDescent="0.3">
      <c r="A599">
        <v>29</v>
      </c>
      <c r="B599">
        <v>11</v>
      </c>
      <c r="C599" s="4">
        <v>23</v>
      </c>
      <c r="D599" t="s">
        <v>11</v>
      </c>
      <c r="E599" t="s">
        <v>13</v>
      </c>
      <c r="F599">
        <v>2023</v>
      </c>
      <c r="G599" s="4">
        <v>23</v>
      </c>
      <c r="H599">
        <v>95</v>
      </c>
      <c r="I599">
        <f t="shared" si="9"/>
        <v>0</v>
      </c>
    </row>
    <row r="600" spans="1:9" x14ac:dyDescent="0.3">
      <c r="A600">
        <v>30</v>
      </c>
      <c r="B600">
        <v>11</v>
      </c>
      <c r="C600" s="4">
        <v>16</v>
      </c>
      <c r="D600" t="s">
        <v>11</v>
      </c>
      <c r="E600" t="s">
        <v>13</v>
      </c>
      <c r="F600">
        <v>2023</v>
      </c>
      <c r="G600" s="4">
        <v>16</v>
      </c>
      <c r="H600">
        <v>95</v>
      </c>
      <c r="I600">
        <f t="shared" si="9"/>
        <v>0</v>
      </c>
    </row>
    <row r="601" spans="1:9" x14ac:dyDescent="0.3">
      <c r="A601">
        <v>1</v>
      </c>
      <c r="B601">
        <v>9</v>
      </c>
      <c r="C601" s="4">
        <v>92</v>
      </c>
      <c r="D601" t="s">
        <v>8</v>
      </c>
      <c r="E601" t="s">
        <v>13</v>
      </c>
      <c r="F601">
        <v>2024</v>
      </c>
      <c r="G601" s="4">
        <v>92</v>
      </c>
      <c r="H601">
        <v>94</v>
      </c>
      <c r="I601">
        <f t="shared" si="9"/>
        <v>0</v>
      </c>
    </row>
    <row r="602" spans="1:9" x14ac:dyDescent="0.3">
      <c r="A602">
        <v>2</v>
      </c>
      <c r="B602">
        <v>9</v>
      </c>
      <c r="C602" s="4">
        <v>88</v>
      </c>
      <c r="D602" t="s">
        <v>8</v>
      </c>
      <c r="E602" t="s">
        <v>13</v>
      </c>
      <c r="F602">
        <v>2024</v>
      </c>
      <c r="G602" s="4">
        <v>88</v>
      </c>
      <c r="H602">
        <v>94</v>
      </c>
      <c r="I602">
        <f t="shared" si="9"/>
        <v>0</v>
      </c>
    </row>
    <row r="603" spans="1:9" x14ac:dyDescent="0.3">
      <c r="A603">
        <v>3</v>
      </c>
      <c r="B603">
        <v>9</v>
      </c>
      <c r="C603" s="4">
        <v>79</v>
      </c>
      <c r="D603" t="s">
        <v>8</v>
      </c>
      <c r="E603" t="s">
        <v>13</v>
      </c>
      <c r="F603">
        <v>2024</v>
      </c>
      <c r="G603" s="4">
        <v>79</v>
      </c>
      <c r="H603">
        <v>94</v>
      </c>
      <c r="I603">
        <f t="shared" si="9"/>
        <v>0</v>
      </c>
    </row>
    <row r="604" spans="1:9" x14ac:dyDescent="0.3">
      <c r="A604">
        <v>4</v>
      </c>
      <c r="B604">
        <v>9</v>
      </c>
      <c r="C604" s="4">
        <v>68</v>
      </c>
      <c r="D604" t="s">
        <v>12</v>
      </c>
      <c r="E604" t="s">
        <v>13</v>
      </c>
      <c r="F604">
        <v>2024</v>
      </c>
      <c r="G604" s="4">
        <v>68</v>
      </c>
      <c r="H604">
        <v>94</v>
      </c>
      <c r="I604">
        <f t="shared" si="9"/>
        <v>0</v>
      </c>
    </row>
    <row r="605" spans="1:9" x14ac:dyDescent="0.3">
      <c r="A605">
        <v>5</v>
      </c>
      <c r="B605">
        <v>9</v>
      </c>
      <c r="C605" s="4">
        <v>65</v>
      </c>
      <c r="D605" t="s">
        <v>12</v>
      </c>
      <c r="E605" t="s">
        <v>13</v>
      </c>
      <c r="F605">
        <v>2024</v>
      </c>
      <c r="G605" s="4">
        <v>65</v>
      </c>
      <c r="H605">
        <v>94</v>
      </c>
      <c r="I605">
        <f t="shared" si="9"/>
        <v>0</v>
      </c>
    </row>
    <row r="606" spans="1:9" x14ac:dyDescent="0.3">
      <c r="A606">
        <v>6</v>
      </c>
      <c r="B606">
        <v>9</v>
      </c>
      <c r="C606" s="4">
        <v>64</v>
      </c>
      <c r="D606" t="s">
        <v>12</v>
      </c>
      <c r="E606" t="s">
        <v>13</v>
      </c>
      <c r="F606">
        <v>2024</v>
      </c>
      <c r="G606" s="4">
        <v>64</v>
      </c>
      <c r="H606">
        <v>94</v>
      </c>
      <c r="I606">
        <f t="shared" si="9"/>
        <v>0</v>
      </c>
    </row>
    <row r="607" spans="1:9" x14ac:dyDescent="0.3">
      <c r="A607">
        <v>7</v>
      </c>
      <c r="B607">
        <v>9</v>
      </c>
      <c r="C607" s="4">
        <v>63</v>
      </c>
      <c r="D607" t="s">
        <v>12</v>
      </c>
      <c r="E607" t="s">
        <v>13</v>
      </c>
      <c r="F607">
        <v>2024</v>
      </c>
      <c r="G607" s="4">
        <v>63</v>
      </c>
      <c r="H607">
        <v>94</v>
      </c>
      <c r="I607">
        <f t="shared" si="9"/>
        <v>0</v>
      </c>
    </row>
    <row r="608" spans="1:9" x14ac:dyDescent="0.3">
      <c r="A608">
        <v>8</v>
      </c>
      <c r="B608">
        <v>9</v>
      </c>
      <c r="C608" s="4">
        <v>59</v>
      </c>
      <c r="D608" t="s">
        <v>12</v>
      </c>
      <c r="E608" t="s">
        <v>13</v>
      </c>
      <c r="F608">
        <v>2024</v>
      </c>
      <c r="G608" s="4">
        <v>59</v>
      </c>
      <c r="H608">
        <v>94</v>
      </c>
      <c r="I608">
        <f t="shared" si="9"/>
        <v>0</v>
      </c>
    </row>
    <row r="609" spans="1:9" x14ac:dyDescent="0.3">
      <c r="A609">
        <v>9</v>
      </c>
      <c r="B609">
        <v>9</v>
      </c>
      <c r="C609" s="4">
        <v>58</v>
      </c>
      <c r="D609" t="s">
        <v>12</v>
      </c>
      <c r="E609" t="s">
        <v>13</v>
      </c>
      <c r="F609">
        <v>2024</v>
      </c>
      <c r="G609" s="4">
        <v>57.999999999999993</v>
      </c>
      <c r="H609">
        <v>94</v>
      </c>
      <c r="I609">
        <f t="shared" si="9"/>
        <v>0</v>
      </c>
    </row>
    <row r="610" spans="1:9" x14ac:dyDescent="0.3">
      <c r="A610">
        <v>10</v>
      </c>
      <c r="B610">
        <v>9</v>
      </c>
      <c r="C610" s="4">
        <v>57</v>
      </c>
      <c r="D610" t="s">
        <v>12</v>
      </c>
      <c r="E610" t="s">
        <v>13</v>
      </c>
      <c r="F610">
        <v>2024</v>
      </c>
      <c r="G610" s="4">
        <v>56.999999999999993</v>
      </c>
      <c r="H610">
        <v>94</v>
      </c>
      <c r="I610">
        <f t="shared" si="9"/>
        <v>0</v>
      </c>
    </row>
    <row r="611" spans="1:9" x14ac:dyDescent="0.3">
      <c r="A611">
        <v>11</v>
      </c>
      <c r="B611">
        <v>9</v>
      </c>
      <c r="C611" s="4">
        <v>53</v>
      </c>
      <c r="D611" t="s">
        <v>11</v>
      </c>
      <c r="E611" t="s">
        <v>13</v>
      </c>
      <c r="F611">
        <v>2024</v>
      </c>
      <c r="G611" s="4">
        <v>53</v>
      </c>
      <c r="H611">
        <v>94</v>
      </c>
      <c r="I611">
        <f t="shared" si="9"/>
        <v>0</v>
      </c>
    </row>
    <row r="612" spans="1:9" x14ac:dyDescent="0.3">
      <c r="A612">
        <v>12</v>
      </c>
      <c r="B612">
        <v>9</v>
      </c>
      <c r="C612" s="4">
        <v>53</v>
      </c>
      <c r="D612" t="s">
        <v>11</v>
      </c>
      <c r="E612" t="s">
        <v>13</v>
      </c>
      <c r="F612">
        <v>2024</v>
      </c>
      <c r="G612" s="4">
        <v>53</v>
      </c>
      <c r="H612">
        <v>94</v>
      </c>
      <c r="I612">
        <f t="shared" si="9"/>
        <v>0</v>
      </c>
    </row>
    <row r="613" spans="1:9" x14ac:dyDescent="0.3">
      <c r="A613">
        <v>13</v>
      </c>
      <c r="B613">
        <v>9</v>
      </c>
      <c r="C613" s="4">
        <v>53</v>
      </c>
      <c r="D613" t="s">
        <v>11</v>
      </c>
      <c r="E613" t="s">
        <v>13</v>
      </c>
      <c r="F613">
        <v>2024</v>
      </c>
      <c r="G613" s="4">
        <v>53</v>
      </c>
      <c r="H613">
        <v>94</v>
      </c>
      <c r="I613">
        <f t="shared" si="9"/>
        <v>0</v>
      </c>
    </row>
    <row r="614" spans="1:9" x14ac:dyDescent="0.3">
      <c r="A614">
        <v>14</v>
      </c>
      <c r="B614">
        <v>9</v>
      </c>
      <c r="C614" s="4">
        <v>51</v>
      </c>
      <c r="D614" t="s">
        <v>11</v>
      </c>
      <c r="E614" t="s">
        <v>13</v>
      </c>
      <c r="F614">
        <v>2024</v>
      </c>
      <c r="G614" s="4">
        <v>51</v>
      </c>
      <c r="H614">
        <v>94</v>
      </c>
      <c r="I614">
        <f t="shared" si="9"/>
        <v>0</v>
      </c>
    </row>
    <row r="615" spans="1:9" x14ac:dyDescent="0.3">
      <c r="A615">
        <v>15</v>
      </c>
      <c r="B615">
        <v>9</v>
      </c>
      <c r="C615" s="4">
        <v>51</v>
      </c>
      <c r="D615" t="s">
        <v>11</v>
      </c>
      <c r="E615" t="s">
        <v>13</v>
      </c>
      <c r="F615">
        <v>2024</v>
      </c>
      <c r="G615" s="4">
        <v>51</v>
      </c>
      <c r="H615">
        <v>94</v>
      </c>
      <c r="I615">
        <f t="shared" si="9"/>
        <v>0</v>
      </c>
    </row>
    <row r="616" spans="1:9" x14ac:dyDescent="0.3">
      <c r="A616">
        <v>16</v>
      </c>
      <c r="B616">
        <v>9</v>
      </c>
      <c r="C616" s="4">
        <v>48</v>
      </c>
      <c r="D616" t="s">
        <v>11</v>
      </c>
      <c r="E616" t="s">
        <v>13</v>
      </c>
      <c r="F616">
        <v>2024</v>
      </c>
      <c r="G616" s="4">
        <v>48</v>
      </c>
      <c r="H616">
        <v>94</v>
      </c>
      <c r="I616">
        <f t="shared" si="9"/>
        <v>0</v>
      </c>
    </row>
    <row r="617" spans="1:9" x14ac:dyDescent="0.3">
      <c r="A617">
        <v>17</v>
      </c>
      <c r="B617">
        <v>9</v>
      </c>
      <c r="C617" s="4">
        <v>47</v>
      </c>
      <c r="D617" t="s">
        <v>11</v>
      </c>
      <c r="E617" t="s">
        <v>13</v>
      </c>
      <c r="F617">
        <v>2024</v>
      </c>
      <c r="G617" s="4">
        <v>47</v>
      </c>
      <c r="H617">
        <v>94</v>
      </c>
      <c r="I617">
        <f t="shared" si="9"/>
        <v>0</v>
      </c>
    </row>
    <row r="618" spans="1:9" x14ac:dyDescent="0.3">
      <c r="A618">
        <v>18</v>
      </c>
      <c r="B618">
        <v>9</v>
      </c>
      <c r="C618" s="4">
        <v>45</v>
      </c>
      <c r="D618" t="s">
        <v>11</v>
      </c>
      <c r="E618" t="s">
        <v>13</v>
      </c>
      <c r="F618">
        <v>2024</v>
      </c>
      <c r="G618" s="4">
        <v>45</v>
      </c>
      <c r="H618">
        <v>94</v>
      </c>
      <c r="I618">
        <f t="shared" si="9"/>
        <v>0</v>
      </c>
    </row>
    <row r="619" spans="1:9" x14ac:dyDescent="0.3">
      <c r="A619">
        <v>19</v>
      </c>
      <c r="B619">
        <v>9</v>
      </c>
      <c r="C619" s="4">
        <v>44</v>
      </c>
      <c r="D619" t="s">
        <v>11</v>
      </c>
      <c r="E619" t="s">
        <v>13</v>
      </c>
      <c r="F619">
        <v>2024</v>
      </c>
      <c r="G619" s="4">
        <v>44</v>
      </c>
      <c r="H619">
        <v>94</v>
      </c>
      <c r="I619">
        <f t="shared" si="9"/>
        <v>0</v>
      </c>
    </row>
    <row r="620" spans="1:9" x14ac:dyDescent="0.3">
      <c r="A620">
        <v>20</v>
      </c>
      <c r="B620">
        <v>9</v>
      </c>
      <c r="C620" s="4">
        <v>44</v>
      </c>
      <c r="D620" t="s">
        <v>11</v>
      </c>
      <c r="E620" t="s">
        <v>13</v>
      </c>
      <c r="F620">
        <v>2024</v>
      </c>
      <c r="G620" s="4">
        <v>44</v>
      </c>
      <c r="H620">
        <v>94</v>
      </c>
      <c r="I620">
        <f t="shared" si="9"/>
        <v>0</v>
      </c>
    </row>
    <row r="621" spans="1:9" x14ac:dyDescent="0.3">
      <c r="A621">
        <v>21</v>
      </c>
      <c r="B621">
        <v>9</v>
      </c>
      <c r="C621" s="4">
        <v>44</v>
      </c>
      <c r="D621" t="s">
        <v>11</v>
      </c>
      <c r="E621" t="s">
        <v>13</v>
      </c>
      <c r="F621">
        <v>2024</v>
      </c>
      <c r="G621" s="4">
        <v>44</v>
      </c>
      <c r="H621">
        <v>94</v>
      </c>
      <c r="I621">
        <f t="shared" si="9"/>
        <v>0</v>
      </c>
    </row>
    <row r="622" spans="1:9" x14ac:dyDescent="0.3">
      <c r="A622">
        <v>22</v>
      </c>
      <c r="B622">
        <v>9</v>
      </c>
      <c r="C622" s="4">
        <v>40</v>
      </c>
      <c r="D622" t="s">
        <v>11</v>
      </c>
      <c r="E622" t="s">
        <v>13</v>
      </c>
      <c r="F622">
        <v>2024</v>
      </c>
      <c r="G622" s="4">
        <v>40</v>
      </c>
      <c r="H622">
        <v>94</v>
      </c>
      <c r="I622">
        <f t="shared" si="9"/>
        <v>0</v>
      </c>
    </row>
    <row r="623" spans="1:9" x14ac:dyDescent="0.3">
      <c r="A623">
        <v>23</v>
      </c>
      <c r="B623">
        <v>9</v>
      </c>
      <c r="C623" s="4">
        <v>40</v>
      </c>
      <c r="D623" t="s">
        <v>11</v>
      </c>
      <c r="E623" t="s">
        <v>13</v>
      </c>
      <c r="F623">
        <v>2024</v>
      </c>
      <c r="G623" s="4">
        <v>40</v>
      </c>
      <c r="H623">
        <v>94</v>
      </c>
      <c r="I623">
        <f t="shared" si="9"/>
        <v>0</v>
      </c>
    </row>
    <row r="624" spans="1:9" x14ac:dyDescent="0.3">
      <c r="A624">
        <v>24</v>
      </c>
      <c r="B624">
        <v>9</v>
      </c>
      <c r="C624" s="4">
        <v>40</v>
      </c>
      <c r="D624" t="s">
        <v>11</v>
      </c>
      <c r="E624" t="s">
        <v>13</v>
      </c>
      <c r="F624">
        <v>2024</v>
      </c>
      <c r="G624" s="4">
        <v>40</v>
      </c>
      <c r="H624">
        <v>94</v>
      </c>
      <c r="I624">
        <f t="shared" si="9"/>
        <v>0</v>
      </c>
    </row>
    <row r="625" spans="1:9" x14ac:dyDescent="0.3">
      <c r="A625">
        <v>25</v>
      </c>
      <c r="B625">
        <v>9</v>
      </c>
      <c r="C625" s="4">
        <v>38</v>
      </c>
      <c r="D625" t="s">
        <v>11</v>
      </c>
      <c r="E625" t="s">
        <v>13</v>
      </c>
      <c r="F625">
        <v>2024</v>
      </c>
      <c r="G625" s="4">
        <v>38</v>
      </c>
      <c r="H625">
        <v>94</v>
      </c>
      <c r="I625">
        <f t="shared" si="9"/>
        <v>0</v>
      </c>
    </row>
    <row r="626" spans="1:9" x14ac:dyDescent="0.3">
      <c r="A626">
        <v>26</v>
      </c>
      <c r="B626">
        <v>9</v>
      </c>
      <c r="C626" s="4">
        <v>37</v>
      </c>
      <c r="D626" t="s">
        <v>11</v>
      </c>
      <c r="E626" t="s">
        <v>13</v>
      </c>
      <c r="F626">
        <v>2024</v>
      </c>
      <c r="G626" s="4">
        <v>37</v>
      </c>
      <c r="H626">
        <v>94</v>
      </c>
      <c r="I626">
        <f t="shared" si="9"/>
        <v>0</v>
      </c>
    </row>
    <row r="627" spans="1:9" x14ac:dyDescent="0.3">
      <c r="A627">
        <v>27</v>
      </c>
      <c r="B627">
        <v>9</v>
      </c>
      <c r="C627" s="4">
        <v>36</v>
      </c>
      <c r="D627" t="s">
        <v>11</v>
      </c>
      <c r="E627" t="s">
        <v>13</v>
      </c>
      <c r="F627">
        <v>2024</v>
      </c>
      <c r="G627" s="4">
        <v>36</v>
      </c>
      <c r="H627">
        <v>94</v>
      </c>
      <c r="I627">
        <f t="shared" si="9"/>
        <v>0</v>
      </c>
    </row>
    <row r="628" spans="1:9" x14ac:dyDescent="0.3">
      <c r="A628">
        <v>28</v>
      </c>
      <c r="B628">
        <v>9</v>
      </c>
      <c r="C628" s="4">
        <v>35</v>
      </c>
      <c r="D628" t="s">
        <v>11</v>
      </c>
      <c r="E628" t="s">
        <v>13</v>
      </c>
      <c r="F628">
        <v>2024</v>
      </c>
      <c r="G628" s="4">
        <v>35</v>
      </c>
      <c r="H628">
        <v>94</v>
      </c>
      <c r="I628">
        <f t="shared" si="9"/>
        <v>0</v>
      </c>
    </row>
    <row r="629" spans="1:9" x14ac:dyDescent="0.3">
      <c r="A629">
        <v>29</v>
      </c>
      <c r="B629">
        <v>9</v>
      </c>
      <c r="C629" s="4">
        <v>27</v>
      </c>
      <c r="D629" t="s">
        <v>11</v>
      </c>
      <c r="E629" t="s">
        <v>13</v>
      </c>
      <c r="F629">
        <v>2024</v>
      </c>
      <c r="G629" s="4">
        <v>27</v>
      </c>
      <c r="H629">
        <v>94</v>
      </c>
      <c r="I629">
        <f t="shared" si="9"/>
        <v>0</v>
      </c>
    </row>
    <row r="630" spans="1:9" x14ac:dyDescent="0.3">
      <c r="A630">
        <v>30</v>
      </c>
      <c r="B630">
        <v>9</v>
      </c>
      <c r="C630" s="4">
        <v>16</v>
      </c>
      <c r="D630" t="s">
        <v>11</v>
      </c>
      <c r="E630" t="s">
        <v>13</v>
      </c>
      <c r="F630">
        <v>2024</v>
      </c>
      <c r="G630" s="4">
        <v>16</v>
      </c>
      <c r="H630">
        <v>94</v>
      </c>
      <c r="I630">
        <f t="shared" si="9"/>
        <v>0</v>
      </c>
    </row>
    <row r="631" spans="1:9" x14ac:dyDescent="0.3">
      <c r="A631">
        <v>1</v>
      </c>
      <c r="B631">
        <v>10</v>
      </c>
      <c r="C631" s="4">
        <v>88</v>
      </c>
      <c r="D631" t="s">
        <v>8</v>
      </c>
      <c r="E631" t="s">
        <v>13</v>
      </c>
      <c r="F631">
        <v>2024</v>
      </c>
      <c r="G631" s="4">
        <v>88</v>
      </c>
      <c r="H631">
        <v>97</v>
      </c>
      <c r="I631">
        <f t="shared" si="9"/>
        <v>0</v>
      </c>
    </row>
    <row r="632" spans="1:9" x14ac:dyDescent="0.3">
      <c r="A632">
        <v>2</v>
      </c>
      <c r="B632">
        <v>10</v>
      </c>
      <c r="C632" s="4">
        <v>74</v>
      </c>
      <c r="D632" t="s">
        <v>12</v>
      </c>
      <c r="E632" t="s">
        <v>13</v>
      </c>
      <c r="F632">
        <v>2024</v>
      </c>
      <c r="G632" s="4">
        <v>74</v>
      </c>
      <c r="H632">
        <v>97</v>
      </c>
      <c r="I632">
        <f t="shared" si="9"/>
        <v>0</v>
      </c>
    </row>
    <row r="633" spans="1:9" x14ac:dyDescent="0.3">
      <c r="A633">
        <v>3</v>
      </c>
      <c r="B633">
        <v>10</v>
      </c>
      <c r="C633" s="4">
        <v>70</v>
      </c>
      <c r="D633" t="s">
        <v>12</v>
      </c>
      <c r="E633" t="s">
        <v>13</v>
      </c>
      <c r="F633">
        <v>2024</v>
      </c>
      <c r="G633" s="4">
        <v>70</v>
      </c>
      <c r="H633">
        <v>97</v>
      </c>
      <c r="I633">
        <f t="shared" si="9"/>
        <v>0</v>
      </c>
    </row>
    <row r="634" spans="1:9" x14ac:dyDescent="0.3">
      <c r="A634">
        <v>4</v>
      </c>
      <c r="B634">
        <v>10</v>
      </c>
      <c r="C634" s="4">
        <v>68</v>
      </c>
      <c r="D634" t="s">
        <v>12</v>
      </c>
      <c r="E634" t="s">
        <v>13</v>
      </c>
      <c r="F634">
        <v>2024</v>
      </c>
      <c r="G634" s="4">
        <v>68</v>
      </c>
      <c r="H634">
        <v>97</v>
      </c>
      <c r="I634">
        <f t="shared" si="9"/>
        <v>0</v>
      </c>
    </row>
    <row r="635" spans="1:9" x14ac:dyDescent="0.3">
      <c r="A635">
        <v>5</v>
      </c>
      <c r="B635">
        <v>10</v>
      </c>
      <c r="C635" s="4">
        <v>67</v>
      </c>
      <c r="D635" t="s">
        <v>12</v>
      </c>
      <c r="E635" t="s">
        <v>13</v>
      </c>
      <c r="F635">
        <v>2024</v>
      </c>
      <c r="G635" s="4">
        <v>67</v>
      </c>
      <c r="H635">
        <v>97</v>
      </c>
      <c r="I635">
        <f t="shared" si="9"/>
        <v>0</v>
      </c>
    </row>
    <row r="636" spans="1:9" x14ac:dyDescent="0.3">
      <c r="A636">
        <v>6</v>
      </c>
      <c r="B636">
        <v>10</v>
      </c>
      <c r="C636" s="4">
        <v>66</v>
      </c>
      <c r="D636" t="s">
        <v>12</v>
      </c>
      <c r="E636" t="s">
        <v>13</v>
      </c>
      <c r="F636">
        <v>2024</v>
      </c>
      <c r="G636" s="4">
        <v>66</v>
      </c>
      <c r="H636">
        <v>97</v>
      </c>
      <c r="I636">
        <f t="shared" si="9"/>
        <v>0</v>
      </c>
    </row>
    <row r="637" spans="1:9" x14ac:dyDescent="0.3">
      <c r="A637">
        <v>7</v>
      </c>
      <c r="B637">
        <v>10</v>
      </c>
      <c r="C637" s="4">
        <v>66</v>
      </c>
      <c r="D637" t="s">
        <v>12</v>
      </c>
      <c r="E637" t="s">
        <v>13</v>
      </c>
      <c r="F637">
        <v>2024</v>
      </c>
      <c r="G637" s="4">
        <v>66</v>
      </c>
      <c r="H637">
        <v>97</v>
      </c>
      <c r="I637">
        <f t="shared" si="9"/>
        <v>0</v>
      </c>
    </row>
    <row r="638" spans="1:9" x14ac:dyDescent="0.3">
      <c r="A638">
        <v>8</v>
      </c>
      <c r="B638">
        <v>10</v>
      </c>
      <c r="C638" s="4">
        <v>65</v>
      </c>
      <c r="D638" t="s">
        <v>12</v>
      </c>
      <c r="E638" t="s">
        <v>13</v>
      </c>
      <c r="F638">
        <v>2024</v>
      </c>
      <c r="G638" s="4">
        <v>65</v>
      </c>
      <c r="H638">
        <v>97</v>
      </c>
      <c r="I638">
        <f t="shared" si="9"/>
        <v>0</v>
      </c>
    </row>
    <row r="639" spans="1:9" x14ac:dyDescent="0.3">
      <c r="A639">
        <v>9</v>
      </c>
      <c r="B639">
        <v>10</v>
      </c>
      <c r="C639" s="4">
        <v>65</v>
      </c>
      <c r="D639" t="s">
        <v>12</v>
      </c>
      <c r="E639" t="s">
        <v>13</v>
      </c>
      <c r="F639">
        <v>2024</v>
      </c>
      <c r="G639" s="4">
        <v>65</v>
      </c>
      <c r="H639">
        <v>97</v>
      </c>
      <c r="I639">
        <f t="shared" si="9"/>
        <v>0</v>
      </c>
    </row>
    <row r="640" spans="1:9" x14ac:dyDescent="0.3">
      <c r="A640">
        <v>10</v>
      </c>
      <c r="B640">
        <v>10</v>
      </c>
      <c r="C640" s="4">
        <v>65</v>
      </c>
      <c r="D640" t="s">
        <v>12</v>
      </c>
      <c r="E640" t="s">
        <v>13</v>
      </c>
      <c r="F640">
        <v>2024</v>
      </c>
      <c r="G640" s="4">
        <v>65</v>
      </c>
      <c r="H640">
        <v>97</v>
      </c>
      <c r="I640">
        <f t="shared" si="9"/>
        <v>0</v>
      </c>
    </row>
    <row r="641" spans="1:9" x14ac:dyDescent="0.3">
      <c r="A641">
        <v>11</v>
      </c>
      <c r="B641">
        <v>10</v>
      </c>
      <c r="C641" s="4">
        <v>64</v>
      </c>
      <c r="D641" t="s">
        <v>12</v>
      </c>
      <c r="E641" t="s">
        <v>13</v>
      </c>
      <c r="F641">
        <v>2024</v>
      </c>
      <c r="G641" s="4">
        <v>64</v>
      </c>
      <c r="H641">
        <v>97</v>
      </c>
      <c r="I641">
        <f t="shared" si="9"/>
        <v>0</v>
      </c>
    </row>
    <row r="642" spans="1:9" x14ac:dyDescent="0.3">
      <c r="A642">
        <v>12</v>
      </c>
      <c r="B642">
        <v>10</v>
      </c>
      <c r="C642" s="4">
        <v>62</v>
      </c>
      <c r="D642" t="s">
        <v>12</v>
      </c>
      <c r="E642" t="s">
        <v>13</v>
      </c>
      <c r="F642">
        <v>2024</v>
      </c>
      <c r="G642" s="4">
        <v>62</v>
      </c>
      <c r="H642">
        <v>97</v>
      </c>
      <c r="I642">
        <f t="shared" si="9"/>
        <v>0</v>
      </c>
    </row>
    <row r="643" spans="1:9" x14ac:dyDescent="0.3">
      <c r="A643">
        <v>13</v>
      </c>
      <c r="B643">
        <v>10</v>
      </c>
      <c r="C643" s="4">
        <v>62</v>
      </c>
      <c r="D643" t="s">
        <v>12</v>
      </c>
      <c r="E643" t="s">
        <v>13</v>
      </c>
      <c r="F643">
        <v>2024</v>
      </c>
      <c r="G643" s="4">
        <v>62</v>
      </c>
      <c r="H643">
        <v>97</v>
      </c>
      <c r="I643">
        <f t="shared" ref="I643:I706" si="10">IF(C643&gt;=H643,1,0)</f>
        <v>0</v>
      </c>
    </row>
    <row r="644" spans="1:9" x14ac:dyDescent="0.3">
      <c r="A644">
        <v>14</v>
      </c>
      <c r="B644">
        <v>10</v>
      </c>
      <c r="C644" s="4">
        <v>61</v>
      </c>
      <c r="D644" t="s">
        <v>11</v>
      </c>
      <c r="E644" t="s">
        <v>13</v>
      </c>
      <c r="F644">
        <v>2024</v>
      </c>
      <c r="G644" s="4">
        <v>61</v>
      </c>
      <c r="H644">
        <v>97</v>
      </c>
      <c r="I644">
        <f t="shared" si="10"/>
        <v>0</v>
      </c>
    </row>
    <row r="645" spans="1:9" x14ac:dyDescent="0.3">
      <c r="A645">
        <v>15</v>
      </c>
      <c r="B645">
        <v>10</v>
      </c>
      <c r="C645" s="4">
        <v>61</v>
      </c>
      <c r="D645" t="s">
        <v>11</v>
      </c>
      <c r="E645" t="s">
        <v>13</v>
      </c>
      <c r="F645">
        <v>2024</v>
      </c>
      <c r="G645" s="4">
        <v>61</v>
      </c>
      <c r="H645">
        <v>97</v>
      </c>
      <c r="I645">
        <f t="shared" si="10"/>
        <v>0</v>
      </c>
    </row>
    <row r="646" spans="1:9" x14ac:dyDescent="0.3">
      <c r="A646">
        <v>16</v>
      </c>
      <c r="B646">
        <v>10</v>
      </c>
      <c r="C646" s="4">
        <v>57</v>
      </c>
      <c r="D646" t="s">
        <v>11</v>
      </c>
      <c r="E646" t="s">
        <v>13</v>
      </c>
      <c r="F646">
        <v>2024</v>
      </c>
      <c r="G646" s="4">
        <v>56.999999999999993</v>
      </c>
      <c r="H646">
        <v>97</v>
      </c>
      <c r="I646">
        <f t="shared" si="10"/>
        <v>0</v>
      </c>
    </row>
    <row r="647" spans="1:9" x14ac:dyDescent="0.3">
      <c r="A647">
        <v>17</v>
      </c>
      <c r="B647">
        <v>10</v>
      </c>
      <c r="C647" s="4">
        <v>57</v>
      </c>
      <c r="D647" t="s">
        <v>11</v>
      </c>
      <c r="E647" t="s">
        <v>13</v>
      </c>
      <c r="F647">
        <v>2024</v>
      </c>
      <c r="G647" s="4">
        <v>56.999999999999993</v>
      </c>
      <c r="H647">
        <v>97</v>
      </c>
      <c r="I647">
        <f t="shared" si="10"/>
        <v>0</v>
      </c>
    </row>
    <row r="648" spans="1:9" x14ac:dyDescent="0.3">
      <c r="A648">
        <v>18</v>
      </c>
      <c r="B648">
        <v>10</v>
      </c>
      <c r="C648" s="4">
        <v>57</v>
      </c>
      <c r="D648" t="s">
        <v>11</v>
      </c>
      <c r="E648" t="s">
        <v>13</v>
      </c>
      <c r="F648">
        <v>2024</v>
      </c>
      <c r="G648" s="4">
        <v>56.999999999999993</v>
      </c>
      <c r="H648">
        <v>97</v>
      </c>
      <c r="I648">
        <f t="shared" si="10"/>
        <v>0</v>
      </c>
    </row>
    <row r="649" spans="1:9" x14ac:dyDescent="0.3">
      <c r="A649">
        <v>19</v>
      </c>
      <c r="B649">
        <v>10</v>
      </c>
      <c r="C649" s="4">
        <v>57</v>
      </c>
      <c r="D649" t="s">
        <v>11</v>
      </c>
      <c r="E649" t="s">
        <v>13</v>
      </c>
      <c r="F649">
        <v>2024</v>
      </c>
      <c r="G649" s="4">
        <v>56.999999999999993</v>
      </c>
      <c r="H649">
        <v>97</v>
      </c>
      <c r="I649">
        <f t="shared" si="10"/>
        <v>0</v>
      </c>
    </row>
    <row r="650" spans="1:9" x14ac:dyDescent="0.3">
      <c r="A650">
        <v>20</v>
      </c>
      <c r="B650">
        <v>10</v>
      </c>
      <c r="C650" s="4">
        <v>57</v>
      </c>
      <c r="D650" t="s">
        <v>11</v>
      </c>
      <c r="E650" t="s">
        <v>13</v>
      </c>
      <c r="F650">
        <v>2024</v>
      </c>
      <c r="G650" s="4">
        <v>56.999999999999993</v>
      </c>
      <c r="H650">
        <v>97</v>
      </c>
      <c r="I650">
        <f t="shared" si="10"/>
        <v>0</v>
      </c>
    </row>
    <row r="651" spans="1:9" x14ac:dyDescent="0.3">
      <c r="A651">
        <v>21</v>
      </c>
      <c r="B651">
        <v>10</v>
      </c>
      <c r="C651" s="4">
        <v>55</v>
      </c>
      <c r="D651" t="s">
        <v>11</v>
      </c>
      <c r="E651" t="s">
        <v>13</v>
      </c>
      <c r="F651">
        <v>2024</v>
      </c>
      <c r="G651" s="4">
        <v>55.000000000000007</v>
      </c>
      <c r="H651">
        <v>97</v>
      </c>
      <c r="I651">
        <f t="shared" si="10"/>
        <v>0</v>
      </c>
    </row>
    <row r="652" spans="1:9" x14ac:dyDescent="0.3">
      <c r="A652">
        <v>22</v>
      </c>
      <c r="B652">
        <v>10</v>
      </c>
      <c r="C652" s="4">
        <v>54</v>
      </c>
      <c r="D652" t="s">
        <v>11</v>
      </c>
      <c r="E652" t="s">
        <v>13</v>
      </c>
      <c r="F652">
        <v>2024</v>
      </c>
      <c r="G652" s="4">
        <v>54</v>
      </c>
      <c r="H652">
        <v>97</v>
      </c>
      <c r="I652">
        <f t="shared" si="10"/>
        <v>0</v>
      </c>
    </row>
    <row r="653" spans="1:9" x14ac:dyDescent="0.3">
      <c r="A653">
        <v>23</v>
      </c>
      <c r="B653">
        <v>10</v>
      </c>
      <c r="C653" s="4">
        <v>52</v>
      </c>
      <c r="D653" t="s">
        <v>11</v>
      </c>
      <c r="E653" t="s">
        <v>13</v>
      </c>
      <c r="F653">
        <v>2024</v>
      </c>
      <c r="G653" s="4">
        <v>52</v>
      </c>
      <c r="H653">
        <v>97</v>
      </c>
      <c r="I653">
        <f t="shared" si="10"/>
        <v>0</v>
      </c>
    </row>
    <row r="654" spans="1:9" x14ac:dyDescent="0.3">
      <c r="A654">
        <v>24</v>
      </c>
      <c r="B654">
        <v>10</v>
      </c>
      <c r="C654" s="4">
        <v>50</v>
      </c>
      <c r="D654" t="s">
        <v>11</v>
      </c>
      <c r="E654" t="s">
        <v>13</v>
      </c>
      <c r="F654">
        <v>2024</v>
      </c>
      <c r="G654" s="4">
        <v>50</v>
      </c>
      <c r="H654">
        <v>97</v>
      </c>
      <c r="I654">
        <f t="shared" si="10"/>
        <v>0</v>
      </c>
    </row>
    <row r="655" spans="1:9" x14ac:dyDescent="0.3">
      <c r="A655">
        <v>25</v>
      </c>
      <c r="B655">
        <v>10</v>
      </c>
      <c r="C655" s="4">
        <v>43</v>
      </c>
      <c r="D655" t="s">
        <v>11</v>
      </c>
      <c r="E655" t="s">
        <v>13</v>
      </c>
      <c r="F655">
        <v>2024</v>
      </c>
      <c r="G655" s="4">
        <v>43</v>
      </c>
      <c r="H655">
        <v>97</v>
      </c>
      <c r="I655">
        <f t="shared" si="10"/>
        <v>0</v>
      </c>
    </row>
    <row r="656" spans="1:9" x14ac:dyDescent="0.3">
      <c r="A656">
        <v>26</v>
      </c>
      <c r="B656">
        <v>10</v>
      </c>
      <c r="C656" s="4">
        <v>41</v>
      </c>
      <c r="D656" t="s">
        <v>11</v>
      </c>
      <c r="E656" t="s">
        <v>13</v>
      </c>
      <c r="F656">
        <v>2024</v>
      </c>
      <c r="G656" s="4">
        <v>41</v>
      </c>
      <c r="H656">
        <v>97</v>
      </c>
      <c r="I656">
        <f t="shared" si="10"/>
        <v>0</v>
      </c>
    </row>
    <row r="657" spans="1:9" x14ac:dyDescent="0.3">
      <c r="A657">
        <v>27</v>
      </c>
      <c r="B657">
        <v>10</v>
      </c>
      <c r="C657" s="4">
        <v>41</v>
      </c>
      <c r="D657" t="s">
        <v>11</v>
      </c>
      <c r="E657" t="s">
        <v>13</v>
      </c>
      <c r="F657">
        <v>2024</v>
      </c>
      <c r="G657" s="4">
        <v>41</v>
      </c>
      <c r="H657">
        <v>97</v>
      </c>
      <c r="I657">
        <f t="shared" si="10"/>
        <v>0</v>
      </c>
    </row>
    <row r="658" spans="1:9" x14ac:dyDescent="0.3">
      <c r="A658">
        <v>28</v>
      </c>
      <c r="B658">
        <v>10</v>
      </c>
      <c r="C658" s="4">
        <v>40</v>
      </c>
      <c r="D658" t="s">
        <v>11</v>
      </c>
      <c r="E658" t="s">
        <v>13</v>
      </c>
      <c r="F658">
        <v>2024</v>
      </c>
      <c r="G658" s="4">
        <v>40</v>
      </c>
      <c r="H658">
        <v>97</v>
      </c>
      <c r="I658">
        <f t="shared" si="10"/>
        <v>0</v>
      </c>
    </row>
    <row r="659" spans="1:9" x14ac:dyDescent="0.3">
      <c r="A659">
        <v>29</v>
      </c>
      <c r="B659">
        <v>10</v>
      </c>
      <c r="C659" s="4">
        <v>38</v>
      </c>
      <c r="D659" t="s">
        <v>11</v>
      </c>
      <c r="E659" t="s">
        <v>13</v>
      </c>
      <c r="F659">
        <v>2024</v>
      </c>
      <c r="G659" s="4">
        <v>38</v>
      </c>
      <c r="H659">
        <v>97</v>
      </c>
      <c r="I659">
        <f t="shared" si="10"/>
        <v>0</v>
      </c>
    </row>
    <row r="660" spans="1:9" x14ac:dyDescent="0.3">
      <c r="A660">
        <v>30</v>
      </c>
      <c r="B660">
        <v>10</v>
      </c>
      <c r="C660" s="4">
        <v>36</v>
      </c>
      <c r="D660" t="s">
        <v>11</v>
      </c>
      <c r="E660" t="s">
        <v>13</v>
      </c>
      <c r="F660">
        <v>2024</v>
      </c>
      <c r="G660" s="4">
        <v>36</v>
      </c>
      <c r="H660">
        <v>97</v>
      </c>
      <c r="I660">
        <f t="shared" si="10"/>
        <v>0</v>
      </c>
    </row>
    <row r="661" spans="1:9" x14ac:dyDescent="0.3">
      <c r="A661">
        <v>31</v>
      </c>
      <c r="B661">
        <v>10</v>
      </c>
      <c r="C661" s="4">
        <v>28</v>
      </c>
      <c r="D661" t="s">
        <v>11</v>
      </c>
      <c r="E661" t="s">
        <v>13</v>
      </c>
      <c r="F661">
        <v>2024</v>
      </c>
      <c r="G661" s="4">
        <v>28</v>
      </c>
      <c r="H661">
        <v>97</v>
      </c>
      <c r="I661">
        <f t="shared" si="10"/>
        <v>0</v>
      </c>
    </row>
    <row r="662" spans="1:9" x14ac:dyDescent="0.3">
      <c r="A662">
        <v>32</v>
      </c>
      <c r="B662">
        <v>10</v>
      </c>
      <c r="C662" s="4">
        <v>28</v>
      </c>
      <c r="D662" t="s">
        <v>11</v>
      </c>
      <c r="E662" t="s">
        <v>13</v>
      </c>
      <c r="F662">
        <v>2024</v>
      </c>
      <c r="G662" s="4">
        <v>28</v>
      </c>
      <c r="H662">
        <v>97</v>
      </c>
      <c r="I662">
        <f t="shared" si="10"/>
        <v>0</v>
      </c>
    </row>
    <row r="663" spans="1:9" x14ac:dyDescent="0.3">
      <c r="A663">
        <v>33</v>
      </c>
      <c r="B663">
        <v>10</v>
      </c>
      <c r="C663" s="4">
        <v>27</v>
      </c>
      <c r="D663" t="s">
        <v>11</v>
      </c>
      <c r="E663" t="s">
        <v>13</v>
      </c>
      <c r="F663">
        <v>2024</v>
      </c>
      <c r="G663" s="4">
        <v>27</v>
      </c>
      <c r="H663">
        <v>97</v>
      </c>
      <c r="I663">
        <f t="shared" si="10"/>
        <v>0</v>
      </c>
    </row>
    <row r="664" spans="1:9" x14ac:dyDescent="0.3">
      <c r="A664">
        <v>34</v>
      </c>
      <c r="B664">
        <v>10</v>
      </c>
      <c r="C664" s="4">
        <v>27</v>
      </c>
      <c r="D664" t="s">
        <v>11</v>
      </c>
      <c r="E664" t="s">
        <v>13</v>
      </c>
      <c r="F664">
        <v>2024</v>
      </c>
      <c r="G664" s="4">
        <v>27</v>
      </c>
      <c r="H664">
        <v>97</v>
      </c>
      <c r="I664">
        <f t="shared" si="10"/>
        <v>0</v>
      </c>
    </row>
    <row r="665" spans="1:9" x14ac:dyDescent="0.3">
      <c r="A665">
        <v>35</v>
      </c>
      <c r="B665">
        <v>10</v>
      </c>
      <c r="C665" s="4">
        <v>26</v>
      </c>
      <c r="D665" t="s">
        <v>11</v>
      </c>
      <c r="E665" t="s">
        <v>13</v>
      </c>
      <c r="F665">
        <v>2024</v>
      </c>
      <c r="G665" s="4">
        <v>26</v>
      </c>
      <c r="H665">
        <v>97</v>
      </c>
      <c r="I665">
        <f t="shared" si="10"/>
        <v>0</v>
      </c>
    </row>
    <row r="666" spans="1:9" x14ac:dyDescent="0.3">
      <c r="A666">
        <v>36</v>
      </c>
      <c r="B666">
        <v>10</v>
      </c>
      <c r="C666" s="4">
        <v>13</v>
      </c>
      <c r="D666" t="s">
        <v>11</v>
      </c>
      <c r="E666" t="s">
        <v>13</v>
      </c>
      <c r="F666">
        <v>2024</v>
      </c>
      <c r="G666" s="4">
        <v>13</v>
      </c>
      <c r="H666">
        <v>97</v>
      </c>
      <c r="I666">
        <f t="shared" si="10"/>
        <v>0</v>
      </c>
    </row>
    <row r="667" spans="1:9" x14ac:dyDescent="0.3">
      <c r="A667">
        <v>1</v>
      </c>
      <c r="B667">
        <v>11</v>
      </c>
      <c r="C667" s="4">
        <v>96</v>
      </c>
      <c r="D667" t="s">
        <v>8</v>
      </c>
      <c r="E667" t="s">
        <v>13</v>
      </c>
      <c r="F667">
        <v>2024</v>
      </c>
      <c r="G667" s="4">
        <v>96</v>
      </c>
      <c r="H667">
        <v>97</v>
      </c>
      <c r="I667">
        <f t="shared" si="10"/>
        <v>0</v>
      </c>
    </row>
    <row r="668" spans="1:9" x14ac:dyDescent="0.3">
      <c r="A668">
        <v>2</v>
      </c>
      <c r="B668">
        <v>11</v>
      </c>
      <c r="C668" s="4">
        <v>87</v>
      </c>
      <c r="D668" t="s">
        <v>8</v>
      </c>
      <c r="E668" t="s">
        <v>13</v>
      </c>
      <c r="F668">
        <v>2024</v>
      </c>
      <c r="G668" s="4">
        <v>87</v>
      </c>
      <c r="H668">
        <v>97</v>
      </c>
      <c r="I668">
        <f t="shared" si="10"/>
        <v>0</v>
      </c>
    </row>
    <row r="669" spans="1:9" x14ac:dyDescent="0.3">
      <c r="A669">
        <v>3</v>
      </c>
      <c r="B669">
        <v>11</v>
      </c>
      <c r="C669" s="4">
        <v>86</v>
      </c>
      <c r="D669" t="s">
        <v>8</v>
      </c>
      <c r="E669" t="s">
        <v>13</v>
      </c>
      <c r="F669">
        <v>2024</v>
      </c>
      <c r="G669" s="4">
        <v>86</v>
      </c>
      <c r="H669">
        <v>97</v>
      </c>
      <c r="I669">
        <f t="shared" si="10"/>
        <v>0</v>
      </c>
    </row>
    <row r="670" spans="1:9" x14ac:dyDescent="0.3">
      <c r="A670">
        <v>4</v>
      </c>
      <c r="B670">
        <v>11</v>
      </c>
      <c r="C670" s="4">
        <v>85</v>
      </c>
      <c r="D670" t="s">
        <v>8</v>
      </c>
      <c r="E670" t="s">
        <v>13</v>
      </c>
      <c r="F670">
        <v>2024</v>
      </c>
      <c r="G670" s="4">
        <v>85</v>
      </c>
      <c r="H670">
        <v>97</v>
      </c>
      <c r="I670">
        <f t="shared" si="10"/>
        <v>0</v>
      </c>
    </row>
    <row r="671" spans="1:9" x14ac:dyDescent="0.3">
      <c r="A671">
        <v>5</v>
      </c>
      <c r="B671">
        <v>11</v>
      </c>
      <c r="C671" s="4">
        <v>83</v>
      </c>
      <c r="D671" t="s">
        <v>8</v>
      </c>
      <c r="E671" t="s">
        <v>13</v>
      </c>
      <c r="F671">
        <v>2024</v>
      </c>
      <c r="G671" s="4">
        <v>83</v>
      </c>
      <c r="H671">
        <v>97</v>
      </c>
      <c r="I671">
        <f t="shared" si="10"/>
        <v>0</v>
      </c>
    </row>
    <row r="672" spans="1:9" x14ac:dyDescent="0.3">
      <c r="A672">
        <v>6</v>
      </c>
      <c r="B672">
        <v>11</v>
      </c>
      <c r="C672" s="4">
        <v>77</v>
      </c>
      <c r="D672" t="s">
        <v>12</v>
      </c>
      <c r="E672" t="s">
        <v>13</v>
      </c>
      <c r="F672">
        <v>2024</v>
      </c>
      <c r="G672" s="4">
        <v>77</v>
      </c>
      <c r="H672">
        <v>97</v>
      </c>
      <c r="I672">
        <f t="shared" si="10"/>
        <v>0</v>
      </c>
    </row>
    <row r="673" spans="1:9" x14ac:dyDescent="0.3">
      <c r="A673">
        <v>7</v>
      </c>
      <c r="B673">
        <v>11</v>
      </c>
      <c r="C673" s="4">
        <v>75</v>
      </c>
      <c r="D673" t="s">
        <v>12</v>
      </c>
      <c r="E673" t="s">
        <v>13</v>
      </c>
      <c r="F673">
        <v>2024</v>
      </c>
      <c r="G673" s="4">
        <v>75</v>
      </c>
      <c r="H673">
        <v>97</v>
      </c>
      <c r="I673">
        <f t="shared" si="10"/>
        <v>0</v>
      </c>
    </row>
    <row r="674" spans="1:9" x14ac:dyDescent="0.3">
      <c r="A674">
        <v>8</v>
      </c>
      <c r="B674">
        <v>11</v>
      </c>
      <c r="C674" s="4">
        <v>73</v>
      </c>
      <c r="D674" t="s">
        <v>12</v>
      </c>
      <c r="E674" t="s">
        <v>13</v>
      </c>
      <c r="F674">
        <v>2024</v>
      </c>
      <c r="G674" s="4">
        <v>73</v>
      </c>
      <c r="H674">
        <v>97</v>
      </c>
      <c r="I674">
        <f t="shared" si="10"/>
        <v>0</v>
      </c>
    </row>
    <row r="675" spans="1:9" x14ac:dyDescent="0.3">
      <c r="A675">
        <v>9</v>
      </c>
      <c r="B675">
        <v>11</v>
      </c>
      <c r="C675" s="4">
        <v>73</v>
      </c>
      <c r="D675" t="s">
        <v>12</v>
      </c>
      <c r="E675" t="s">
        <v>13</v>
      </c>
      <c r="F675">
        <v>2024</v>
      </c>
      <c r="G675" s="4">
        <v>73</v>
      </c>
      <c r="H675">
        <v>97</v>
      </c>
      <c r="I675">
        <f t="shared" si="10"/>
        <v>0</v>
      </c>
    </row>
    <row r="676" spans="1:9" x14ac:dyDescent="0.3">
      <c r="A676">
        <v>10</v>
      </c>
      <c r="B676">
        <v>11</v>
      </c>
      <c r="C676" s="4">
        <v>72</v>
      </c>
      <c r="D676" t="s">
        <v>12</v>
      </c>
      <c r="E676" t="s">
        <v>13</v>
      </c>
      <c r="F676">
        <v>2024</v>
      </c>
      <c r="G676" s="4">
        <v>72</v>
      </c>
      <c r="H676">
        <v>97</v>
      </c>
      <c r="I676">
        <f t="shared" si="10"/>
        <v>0</v>
      </c>
    </row>
    <row r="677" spans="1:9" x14ac:dyDescent="0.3">
      <c r="A677">
        <v>11</v>
      </c>
      <c r="B677">
        <v>11</v>
      </c>
      <c r="C677" s="4">
        <v>71</v>
      </c>
      <c r="D677" t="s">
        <v>12</v>
      </c>
      <c r="E677" t="s">
        <v>13</v>
      </c>
      <c r="F677">
        <v>2024</v>
      </c>
      <c r="G677" s="4">
        <v>71</v>
      </c>
      <c r="H677">
        <v>97</v>
      </c>
      <c r="I677">
        <f t="shared" si="10"/>
        <v>0</v>
      </c>
    </row>
    <row r="678" spans="1:9" x14ac:dyDescent="0.3">
      <c r="A678">
        <v>12</v>
      </c>
      <c r="B678">
        <v>11</v>
      </c>
      <c r="C678" s="4">
        <v>70</v>
      </c>
      <c r="D678" t="s">
        <v>12</v>
      </c>
      <c r="E678" t="s">
        <v>13</v>
      </c>
      <c r="F678">
        <v>2024</v>
      </c>
      <c r="G678" s="4">
        <v>70</v>
      </c>
      <c r="H678">
        <v>97</v>
      </c>
      <c r="I678">
        <f t="shared" si="10"/>
        <v>0</v>
      </c>
    </row>
    <row r="679" spans="1:9" x14ac:dyDescent="0.3">
      <c r="A679">
        <v>13</v>
      </c>
      <c r="B679">
        <v>11</v>
      </c>
      <c r="C679" s="4">
        <v>67</v>
      </c>
      <c r="D679" t="s">
        <v>12</v>
      </c>
      <c r="E679" t="s">
        <v>13</v>
      </c>
      <c r="F679">
        <v>2024</v>
      </c>
      <c r="G679" s="4">
        <v>67</v>
      </c>
      <c r="H679">
        <v>97</v>
      </c>
      <c r="I679">
        <f t="shared" si="10"/>
        <v>0</v>
      </c>
    </row>
    <row r="680" spans="1:9" x14ac:dyDescent="0.3">
      <c r="A680">
        <v>14</v>
      </c>
      <c r="B680">
        <v>11</v>
      </c>
      <c r="C680" s="4">
        <v>66</v>
      </c>
      <c r="D680" t="s">
        <v>12</v>
      </c>
      <c r="E680" t="s">
        <v>13</v>
      </c>
      <c r="F680">
        <v>2024</v>
      </c>
      <c r="G680" s="4">
        <v>66</v>
      </c>
      <c r="H680">
        <v>97</v>
      </c>
      <c r="I680">
        <f t="shared" si="10"/>
        <v>0</v>
      </c>
    </row>
    <row r="681" spans="1:9" x14ac:dyDescent="0.3">
      <c r="A681">
        <v>15</v>
      </c>
      <c r="B681">
        <v>11</v>
      </c>
      <c r="C681" s="4">
        <v>62</v>
      </c>
      <c r="D681" t="s">
        <v>12</v>
      </c>
      <c r="E681" t="s">
        <v>13</v>
      </c>
      <c r="F681">
        <v>2024</v>
      </c>
      <c r="G681" s="4">
        <v>62</v>
      </c>
      <c r="H681">
        <v>97</v>
      </c>
      <c r="I681">
        <f t="shared" si="10"/>
        <v>0</v>
      </c>
    </row>
    <row r="682" spans="1:9" x14ac:dyDescent="0.3">
      <c r="A682">
        <v>16</v>
      </c>
      <c r="B682">
        <v>11</v>
      </c>
      <c r="C682" s="4">
        <v>61</v>
      </c>
      <c r="D682" t="s">
        <v>11</v>
      </c>
      <c r="E682" t="s">
        <v>13</v>
      </c>
      <c r="F682">
        <v>2024</v>
      </c>
      <c r="G682" s="4">
        <v>61</v>
      </c>
      <c r="H682">
        <v>97</v>
      </c>
      <c r="I682">
        <f t="shared" si="10"/>
        <v>0</v>
      </c>
    </row>
    <row r="683" spans="1:9" x14ac:dyDescent="0.3">
      <c r="A683">
        <v>17</v>
      </c>
      <c r="B683">
        <v>11</v>
      </c>
      <c r="C683" s="4">
        <v>61</v>
      </c>
      <c r="D683" t="s">
        <v>11</v>
      </c>
      <c r="E683" t="s">
        <v>13</v>
      </c>
      <c r="F683">
        <v>2024</v>
      </c>
      <c r="G683" s="4">
        <v>61</v>
      </c>
      <c r="H683">
        <v>97</v>
      </c>
      <c r="I683">
        <f t="shared" si="10"/>
        <v>0</v>
      </c>
    </row>
    <row r="684" spans="1:9" x14ac:dyDescent="0.3">
      <c r="A684">
        <v>18</v>
      </c>
      <c r="B684">
        <v>11</v>
      </c>
      <c r="C684" s="4">
        <v>61</v>
      </c>
      <c r="D684" t="s">
        <v>11</v>
      </c>
      <c r="E684" t="s">
        <v>13</v>
      </c>
      <c r="F684">
        <v>2024</v>
      </c>
      <c r="G684" s="4">
        <v>61</v>
      </c>
      <c r="H684">
        <v>97</v>
      </c>
      <c r="I684">
        <f t="shared" si="10"/>
        <v>0</v>
      </c>
    </row>
    <row r="685" spans="1:9" x14ac:dyDescent="0.3">
      <c r="A685">
        <v>19</v>
      </c>
      <c r="B685">
        <v>11</v>
      </c>
      <c r="C685" s="4">
        <v>55</v>
      </c>
      <c r="D685" t="s">
        <v>11</v>
      </c>
      <c r="E685" t="s">
        <v>13</v>
      </c>
      <c r="F685">
        <v>2024</v>
      </c>
      <c r="G685" s="4">
        <v>55.000000000000007</v>
      </c>
      <c r="H685">
        <v>97</v>
      </c>
      <c r="I685">
        <f t="shared" si="10"/>
        <v>0</v>
      </c>
    </row>
    <row r="686" spans="1:9" x14ac:dyDescent="0.3">
      <c r="A686">
        <v>20</v>
      </c>
      <c r="B686">
        <v>11</v>
      </c>
      <c r="C686" s="4">
        <v>53</v>
      </c>
      <c r="D686" t="s">
        <v>11</v>
      </c>
      <c r="E686" t="s">
        <v>13</v>
      </c>
      <c r="F686">
        <v>2024</v>
      </c>
      <c r="G686" s="4">
        <v>53</v>
      </c>
      <c r="H686">
        <v>97</v>
      </c>
      <c r="I686">
        <f t="shared" si="10"/>
        <v>0</v>
      </c>
    </row>
    <row r="687" spans="1:9" x14ac:dyDescent="0.3">
      <c r="A687">
        <v>21</v>
      </c>
      <c r="B687">
        <v>11</v>
      </c>
      <c r="C687" s="4">
        <v>52</v>
      </c>
      <c r="D687" t="s">
        <v>11</v>
      </c>
      <c r="E687" t="s">
        <v>13</v>
      </c>
      <c r="F687">
        <v>2024</v>
      </c>
      <c r="G687" s="4">
        <v>52</v>
      </c>
      <c r="H687">
        <v>97</v>
      </c>
      <c r="I687">
        <f t="shared" si="10"/>
        <v>0</v>
      </c>
    </row>
    <row r="688" spans="1:9" x14ac:dyDescent="0.3">
      <c r="A688">
        <v>22</v>
      </c>
      <c r="B688">
        <v>11</v>
      </c>
      <c r="C688" s="4">
        <v>51</v>
      </c>
      <c r="D688" t="s">
        <v>11</v>
      </c>
      <c r="E688" t="s">
        <v>13</v>
      </c>
      <c r="F688">
        <v>2024</v>
      </c>
      <c r="G688" s="4">
        <v>51</v>
      </c>
      <c r="H688">
        <v>97</v>
      </c>
      <c r="I688">
        <f t="shared" si="10"/>
        <v>0</v>
      </c>
    </row>
    <row r="689" spans="1:9" x14ac:dyDescent="0.3">
      <c r="A689">
        <v>23</v>
      </c>
      <c r="B689">
        <v>11</v>
      </c>
      <c r="C689" s="4">
        <v>50</v>
      </c>
      <c r="D689" t="s">
        <v>11</v>
      </c>
      <c r="E689" t="s">
        <v>13</v>
      </c>
      <c r="F689">
        <v>2024</v>
      </c>
      <c r="G689" s="4">
        <v>50</v>
      </c>
      <c r="H689">
        <v>97</v>
      </c>
      <c r="I689">
        <f t="shared" si="10"/>
        <v>0</v>
      </c>
    </row>
    <row r="690" spans="1:9" x14ac:dyDescent="0.3">
      <c r="A690">
        <v>24</v>
      </c>
      <c r="B690">
        <v>11</v>
      </c>
      <c r="C690" s="4">
        <v>49</v>
      </c>
      <c r="D690" t="s">
        <v>11</v>
      </c>
      <c r="E690" t="s">
        <v>13</v>
      </c>
      <c r="F690">
        <v>2024</v>
      </c>
      <c r="G690" s="4">
        <v>49</v>
      </c>
      <c r="H690">
        <v>97</v>
      </c>
      <c r="I690">
        <f t="shared" si="10"/>
        <v>0</v>
      </c>
    </row>
    <row r="691" spans="1:9" x14ac:dyDescent="0.3">
      <c r="A691">
        <v>25</v>
      </c>
      <c r="B691">
        <v>11</v>
      </c>
      <c r="C691" s="4">
        <v>49</v>
      </c>
      <c r="D691" t="s">
        <v>11</v>
      </c>
      <c r="E691" t="s">
        <v>13</v>
      </c>
      <c r="F691">
        <v>2024</v>
      </c>
      <c r="G691" s="4">
        <v>49</v>
      </c>
      <c r="H691">
        <v>97</v>
      </c>
      <c r="I691">
        <f t="shared" si="10"/>
        <v>0</v>
      </c>
    </row>
    <row r="692" spans="1:9" x14ac:dyDescent="0.3">
      <c r="A692">
        <v>26</v>
      </c>
      <c r="B692">
        <v>11</v>
      </c>
      <c r="C692" s="4">
        <v>48</v>
      </c>
      <c r="D692" t="s">
        <v>11</v>
      </c>
      <c r="E692" t="s">
        <v>13</v>
      </c>
      <c r="F692">
        <v>2024</v>
      </c>
      <c r="G692" s="4">
        <v>48</v>
      </c>
      <c r="H692">
        <v>97</v>
      </c>
      <c r="I692">
        <f t="shared" si="10"/>
        <v>0</v>
      </c>
    </row>
    <row r="693" spans="1:9" x14ac:dyDescent="0.3">
      <c r="A693">
        <v>27</v>
      </c>
      <c r="B693">
        <v>11</v>
      </c>
      <c r="C693" s="4">
        <v>42</v>
      </c>
      <c r="D693" t="s">
        <v>11</v>
      </c>
      <c r="E693" t="s">
        <v>13</v>
      </c>
      <c r="F693">
        <v>2024</v>
      </c>
      <c r="G693" s="4">
        <v>42</v>
      </c>
      <c r="H693">
        <v>97</v>
      </c>
      <c r="I693">
        <f t="shared" si="10"/>
        <v>0</v>
      </c>
    </row>
    <row r="694" spans="1:9" x14ac:dyDescent="0.3">
      <c r="A694">
        <v>28</v>
      </c>
      <c r="B694">
        <v>11</v>
      </c>
      <c r="C694" s="4">
        <v>41</v>
      </c>
      <c r="D694" t="s">
        <v>11</v>
      </c>
      <c r="E694" t="s">
        <v>13</v>
      </c>
      <c r="F694">
        <v>2024</v>
      </c>
      <c r="G694" s="4">
        <v>41</v>
      </c>
      <c r="H694">
        <v>97</v>
      </c>
      <c r="I694">
        <f t="shared" si="10"/>
        <v>0</v>
      </c>
    </row>
    <row r="695" spans="1:9" x14ac:dyDescent="0.3">
      <c r="A695">
        <v>29</v>
      </c>
      <c r="B695">
        <v>11</v>
      </c>
      <c r="C695" s="4">
        <v>40</v>
      </c>
      <c r="D695" t="s">
        <v>11</v>
      </c>
      <c r="E695" t="s">
        <v>13</v>
      </c>
      <c r="F695">
        <v>2024</v>
      </c>
      <c r="G695" s="4">
        <v>40</v>
      </c>
      <c r="H695">
        <v>97</v>
      </c>
      <c r="I695">
        <f t="shared" si="10"/>
        <v>0</v>
      </c>
    </row>
    <row r="696" spans="1:9" x14ac:dyDescent="0.3">
      <c r="A696">
        <v>30</v>
      </c>
      <c r="B696">
        <v>11</v>
      </c>
      <c r="C696" s="4">
        <v>40</v>
      </c>
      <c r="D696" t="s">
        <v>11</v>
      </c>
      <c r="E696" t="s">
        <v>13</v>
      </c>
      <c r="F696">
        <v>2024</v>
      </c>
      <c r="G696" s="4">
        <v>40</v>
      </c>
      <c r="H696">
        <v>97</v>
      </c>
      <c r="I696">
        <f t="shared" si="10"/>
        <v>0</v>
      </c>
    </row>
    <row r="697" spans="1:9" x14ac:dyDescent="0.3">
      <c r="A697">
        <v>31</v>
      </c>
      <c r="B697">
        <v>11</v>
      </c>
      <c r="C697" s="4">
        <v>38</v>
      </c>
      <c r="D697" t="s">
        <v>11</v>
      </c>
      <c r="E697" t="s">
        <v>13</v>
      </c>
      <c r="F697">
        <v>2024</v>
      </c>
      <c r="G697" s="4">
        <v>38</v>
      </c>
      <c r="H697">
        <v>97</v>
      </c>
      <c r="I697">
        <f t="shared" si="10"/>
        <v>0</v>
      </c>
    </row>
    <row r="698" spans="1:9" x14ac:dyDescent="0.3">
      <c r="A698">
        <v>32</v>
      </c>
      <c r="B698">
        <v>11</v>
      </c>
      <c r="C698" s="4">
        <v>33</v>
      </c>
      <c r="D698" t="s">
        <v>11</v>
      </c>
      <c r="E698" t="s">
        <v>13</v>
      </c>
      <c r="F698">
        <v>2024</v>
      </c>
      <c r="G698" s="4">
        <v>33</v>
      </c>
      <c r="H698">
        <v>97</v>
      </c>
      <c r="I698">
        <f t="shared" si="10"/>
        <v>0</v>
      </c>
    </row>
    <row r="699" spans="1:9" x14ac:dyDescent="0.3">
      <c r="A699">
        <v>33</v>
      </c>
      <c r="B699">
        <v>11</v>
      </c>
      <c r="C699" s="4">
        <v>31</v>
      </c>
      <c r="D699" t="s">
        <v>11</v>
      </c>
      <c r="E699" t="s">
        <v>13</v>
      </c>
      <c r="F699">
        <v>2024</v>
      </c>
      <c r="G699" s="4">
        <v>31</v>
      </c>
      <c r="H699">
        <v>97</v>
      </c>
      <c r="I699">
        <f t="shared" si="10"/>
        <v>0</v>
      </c>
    </row>
    <row r="700" spans="1:9" x14ac:dyDescent="0.3">
      <c r="A700">
        <v>34</v>
      </c>
      <c r="B700">
        <v>11</v>
      </c>
      <c r="C700" s="4">
        <v>30</v>
      </c>
      <c r="D700" t="s">
        <v>11</v>
      </c>
      <c r="E700" t="s">
        <v>13</v>
      </c>
      <c r="F700">
        <v>2024</v>
      </c>
      <c r="G700" s="4">
        <v>30</v>
      </c>
      <c r="H700">
        <v>97</v>
      </c>
      <c r="I700">
        <f t="shared" si="10"/>
        <v>0</v>
      </c>
    </row>
    <row r="701" spans="1:9" x14ac:dyDescent="0.3">
      <c r="A701">
        <v>35</v>
      </c>
      <c r="B701">
        <v>11</v>
      </c>
      <c r="C701" s="4">
        <v>28</v>
      </c>
      <c r="D701" t="s">
        <v>11</v>
      </c>
      <c r="E701" t="s">
        <v>13</v>
      </c>
      <c r="F701">
        <v>2024</v>
      </c>
      <c r="G701" s="4">
        <v>28</v>
      </c>
      <c r="H701">
        <v>97</v>
      </c>
      <c r="I701">
        <f t="shared" si="10"/>
        <v>0</v>
      </c>
    </row>
    <row r="702" spans="1:9" x14ac:dyDescent="0.3">
      <c r="A702">
        <v>36</v>
      </c>
      <c r="B702">
        <v>11</v>
      </c>
      <c r="C702" s="4">
        <v>27</v>
      </c>
      <c r="D702" t="s">
        <v>11</v>
      </c>
      <c r="E702" t="s">
        <v>13</v>
      </c>
      <c r="F702">
        <v>2024</v>
      </c>
      <c r="G702" s="4">
        <v>27</v>
      </c>
      <c r="H702">
        <v>97</v>
      </c>
      <c r="I702">
        <f t="shared" si="10"/>
        <v>0</v>
      </c>
    </row>
    <row r="703" spans="1:9" x14ac:dyDescent="0.3">
      <c r="A703">
        <v>37</v>
      </c>
      <c r="B703">
        <v>11</v>
      </c>
      <c r="C703" s="4">
        <v>24</v>
      </c>
      <c r="D703" t="s">
        <v>11</v>
      </c>
      <c r="E703" t="s">
        <v>13</v>
      </c>
      <c r="F703">
        <v>2024</v>
      </c>
      <c r="G703" s="4">
        <v>24</v>
      </c>
      <c r="H703">
        <v>97</v>
      </c>
      <c r="I703">
        <f t="shared" si="10"/>
        <v>0</v>
      </c>
    </row>
    <row r="704" spans="1:9" x14ac:dyDescent="0.3">
      <c r="A704">
        <v>38</v>
      </c>
      <c r="B704">
        <v>11</v>
      </c>
      <c r="C704" s="4">
        <v>22</v>
      </c>
      <c r="D704" t="s">
        <v>11</v>
      </c>
      <c r="E704" t="s">
        <v>13</v>
      </c>
      <c r="F704">
        <v>2024</v>
      </c>
      <c r="G704" s="4">
        <v>22</v>
      </c>
      <c r="H704">
        <v>97</v>
      </c>
      <c r="I704">
        <f t="shared" si="10"/>
        <v>0</v>
      </c>
    </row>
    <row r="705" spans="1:9" x14ac:dyDescent="0.3">
      <c r="A705">
        <v>39</v>
      </c>
      <c r="B705">
        <v>11</v>
      </c>
      <c r="C705" s="4">
        <v>19</v>
      </c>
      <c r="D705" t="s">
        <v>11</v>
      </c>
      <c r="E705" t="s">
        <v>13</v>
      </c>
      <c r="F705">
        <v>2024</v>
      </c>
      <c r="G705" s="4">
        <v>19</v>
      </c>
      <c r="H705">
        <v>97</v>
      </c>
      <c r="I705">
        <f t="shared" si="10"/>
        <v>0</v>
      </c>
    </row>
    <row r="706" spans="1:9" x14ac:dyDescent="0.3">
      <c r="A706">
        <v>40</v>
      </c>
      <c r="B706">
        <v>11</v>
      </c>
      <c r="C706" s="4">
        <v>17</v>
      </c>
      <c r="D706" t="s">
        <v>11</v>
      </c>
      <c r="E706" t="s">
        <v>13</v>
      </c>
      <c r="F706">
        <v>2024</v>
      </c>
      <c r="G706" s="4">
        <v>17</v>
      </c>
      <c r="H706">
        <v>97</v>
      </c>
      <c r="I706">
        <f t="shared" si="10"/>
        <v>0</v>
      </c>
    </row>
    <row r="707" spans="1:9" x14ac:dyDescent="0.3">
      <c r="A707">
        <v>41</v>
      </c>
      <c r="B707">
        <v>11</v>
      </c>
      <c r="C707" s="4">
        <v>17</v>
      </c>
      <c r="D707" t="s">
        <v>11</v>
      </c>
      <c r="E707" t="s">
        <v>13</v>
      </c>
      <c r="F707">
        <v>2024</v>
      </c>
      <c r="G707" s="4">
        <v>17</v>
      </c>
      <c r="H707">
        <v>97</v>
      </c>
      <c r="I707">
        <f t="shared" ref="I707:I770" si="11">IF(C707&gt;=H707,1,0)</f>
        <v>0</v>
      </c>
    </row>
    <row r="708" spans="1:9" x14ac:dyDescent="0.3">
      <c r="A708">
        <v>42</v>
      </c>
      <c r="B708">
        <v>11</v>
      </c>
      <c r="C708" s="4">
        <v>16</v>
      </c>
      <c r="D708" t="s">
        <v>11</v>
      </c>
      <c r="E708" t="s">
        <v>13</v>
      </c>
      <c r="F708">
        <v>2024</v>
      </c>
      <c r="G708" s="4">
        <v>16</v>
      </c>
      <c r="H708">
        <v>97</v>
      </c>
      <c r="I708">
        <f t="shared" si="11"/>
        <v>0</v>
      </c>
    </row>
    <row r="709" spans="1:9" x14ac:dyDescent="0.3">
      <c r="A709">
        <v>43</v>
      </c>
      <c r="B709">
        <v>11</v>
      </c>
      <c r="C709" s="4">
        <v>14</v>
      </c>
      <c r="D709" t="s">
        <v>11</v>
      </c>
      <c r="E709" t="s">
        <v>13</v>
      </c>
      <c r="F709">
        <v>2024</v>
      </c>
      <c r="G709" s="4">
        <v>14</v>
      </c>
      <c r="H709">
        <v>97</v>
      </c>
      <c r="I709">
        <f t="shared" si="11"/>
        <v>0</v>
      </c>
    </row>
    <row r="710" spans="1:9" x14ac:dyDescent="0.3">
      <c r="A710">
        <v>1</v>
      </c>
      <c r="B710">
        <v>9</v>
      </c>
      <c r="C710" s="4">
        <v>92.57</v>
      </c>
      <c r="D710" t="s">
        <v>8</v>
      </c>
      <c r="E710" t="s">
        <v>13</v>
      </c>
      <c r="F710">
        <v>2025</v>
      </c>
      <c r="G710" s="4">
        <v>92.57</v>
      </c>
      <c r="H710">
        <v>91.89</v>
      </c>
      <c r="I710">
        <f t="shared" si="11"/>
        <v>1</v>
      </c>
    </row>
    <row r="711" spans="1:9" x14ac:dyDescent="0.3">
      <c r="A711">
        <v>2</v>
      </c>
      <c r="B711">
        <v>9</v>
      </c>
      <c r="C711" s="4">
        <v>79.73</v>
      </c>
      <c r="D711" t="s">
        <v>8</v>
      </c>
      <c r="E711" t="s">
        <v>13</v>
      </c>
      <c r="F711">
        <v>2025</v>
      </c>
      <c r="G711" s="4">
        <v>79.73</v>
      </c>
      <c r="H711">
        <v>91.89</v>
      </c>
      <c r="I711">
        <f t="shared" si="11"/>
        <v>0</v>
      </c>
    </row>
    <row r="712" spans="1:9" x14ac:dyDescent="0.3">
      <c r="A712">
        <v>3</v>
      </c>
      <c r="B712">
        <v>9</v>
      </c>
      <c r="C712" s="4">
        <v>78.38</v>
      </c>
      <c r="D712" t="s">
        <v>8</v>
      </c>
      <c r="E712" t="s">
        <v>13</v>
      </c>
      <c r="F712">
        <v>2025</v>
      </c>
      <c r="G712" s="4">
        <v>78.38</v>
      </c>
      <c r="H712">
        <v>91.89</v>
      </c>
      <c r="I712">
        <f t="shared" si="11"/>
        <v>0</v>
      </c>
    </row>
    <row r="713" spans="1:9" x14ac:dyDescent="0.3">
      <c r="A713">
        <v>4</v>
      </c>
      <c r="B713">
        <v>9</v>
      </c>
      <c r="C713" s="4">
        <v>77.03</v>
      </c>
      <c r="D713" t="s">
        <v>12</v>
      </c>
      <c r="E713" t="s">
        <v>13</v>
      </c>
      <c r="F713">
        <v>2025</v>
      </c>
      <c r="G713" s="4">
        <v>77.03</v>
      </c>
      <c r="H713">
        <v>91.89</v>
      </c>
      <c r="I713">
        <f t="shared" si="11"/>
        <v>0</v>
      </c>
    </row>
    <row r="714" spans="1:9" x14ac:dyDescent="0.3">
      <c r="A714">
        <v>5</v>
      </c>
      <c r="B714">
        <v>9</v>
      </c>
      <c r="C714" s="4">
        <v>76.349999999999994</v>
      </c>
      <c r="D714" t="s">
        <v>12</v>
      </c>
      <c r="E714" t="s">
        <v>13</v>
      </c>
      <c r="F714">
        <v>2025</v>
      </c>
      <c r="G714" s="4">
        <v>76.349999999999994</v>
      </c>
      <c r="H714">
        <v>91.89</v>
      </c>
      <c r="I714">
        <f t="shared" si="11"/>
        <v>0</v>
      </c>
    </row>
    <row r="715" spans="1:9" x14ac:dyDescent="0.3">
      <c r="A715">
        <v>6</v>
      </c>
      <c r="B715">
        <v>9</v>
      </c>
      <c r="C715" s="4">
        <v>75.680000000000007</v>
      </c>
      <c r="D715" t="s">
        <v>12</v>
      </c>
      <c r="E715" t="s">
        <v>13</v>
      </c>
      <c r="F715">
        <v>2025</v>
      </c>
      <c r="G715" s="4">
        <v>75.680000000000007</v>
      </c>
      <c r="H715">
        <v>91.89</v>
      </c>
      <c r="I715">
        <f t="shared" si="11"/>
        <v>0</v>
      </c>
    </row>
    <row r="716" spans="1:9" x14ac:dyDescent="0.3">
      <c r="A716">
        <v>7</v>
      </c>
      <c r="B716">
        <v>9</v>
      </c>
      <c r="C716" s="4">
        <v>72.97</v>
      </c>
      <c r="D716" t="s">
        <v>12</v>
      </c>
      <c r="E716" t="s">
        <v>13</v>
      </c>
      <c r="F716">
        <v>2025</v>
      </c>
      <c r="G716" s="4">
        <v>72.97</v>
      </c>
      <c r="H716">
        <v>91.89</v>
      </c>
      <c r="I716">
        <f t="shared" si="11"/>
        <v>0</v>
      </c>
    </row>
    <row r="717" spans="1:9" x14ac:dyDescent="0.3">
      <c r="A717">
        <v>8</v>
      </c>
      <c r="B717">
        <v>9</v>
      </c>
      <c r="C717" s="4">
        <v>70.27</v>
      </c>
      <c r="D717" t="s">
        <v>12</v>
      </c>
      <c r="E717" t="s">
        <v>13</v>
      </c>
      <c r="F717">
        <v>2025</v>
      </c>
      <c r="G717" s="4">
        <v>70.27</v>
      </c>
      <c r="H717">
        <v>91.89</v>
      </c>
      <c r="I717">
        <f t="shared" si="11"/>
        <v>0</v>
      </c>
    </row>
    <row r="718" spans="1:9" x14ac:dyDescent="0.3">
      <c r="A718">
        <v>9</v>
      </c>
      <c r="B718">
        <v>9</v>
      </c>
      <c r="C718" s="4">
        <v>70.27</v>
      </c>
      <c r="D718" t="s">
        <v>12</v>
      </c>
      <c r="E718" t="s">
        <v>13</v>
      </c>
      <c r="F718">
        <v>2025</v>
      </c>
      <c r="G718" s="4">
        <v>70.27</v>
      </c>
      <c r="H718">
        <v>91.89</v>
      </c>
      <c r="I718">
        <f t="shared" si="11"/>
        <v>0</v>
      </c>
    </row>
    <row r="719" spans="1:9" x14ac:dyDescent="0.3">
      <c r="A719">
        <v>10</v>
      </c>
      <c r="B719">
        <v>9</v>
      </c>
      <c r="C719" s="4">
        <v>68.92</v>
      </c>
      <c r="D719" t="s">
        <v>12</v>
      </c>
      <c r="E719" t="s">
        <v>13</v>
      </c>
      <c r="F719">
        <v>2025</v>
      </c>
      <c r="G719" s="4">
        <v>68.92</v>
      </c>
      <c r="H719">
        <v>91.89</v>
      </c>
      <c r="I719">
        <f t="shared" si="11"/>
        <v>0</v>
      </c>
    </row>
    <row r="720" spans="1:9" x14ac:dyDescent="0.3">
      <c r="A720">
        <v>11</v>
      </c>
      <c r="B720">
        <v>9</v>
      </c>
      <c r="C720" s="4">
        <v>68.239999999999995</v>
      </c>
      <c r="D720" t="s">
        <v>12</v>
      </c>
      <c r="E720" t="s">
        <v>13</v>
      </c>
      <c r="F720">
        <v>2025</v>
      </c>
      <c r="G720" s="4">
        <v>68.239999999999995</v>
      </c>
      <c r="H720">
        <v>91.89</v>
      </c>
      <c r="I720">
        <f t="shared" si="11"/>
        <v>0</v>
      </c>
    </row>
    <row r="721" spans="1:9" x14ac:dyDescent="0.3">
      <c r="A721">
        <v>12</v>
      </c>
      <c r="B721">
        <v>9</v>
      </c>
      <c r="C721" s="4">
        <v>67.569999999999993</v>
      </c>
      <c r="D721" t="s">
        <v>12</v>
      </c>
      <c r="E721" t="s">
        <v>13</v>
      </c>
      <c r="F721">
        <v>2025</v>
      </c>
      <c r="G721" s="4">
        <v>67.569999999999993</v>
      </c>
      <c r="H721">
        <v>91.89</v>
      </c>
      <c r="I721">
        <f t="shared" si="11"/>
        <v>0</v>
      </c>
    </row>
    <row r="722" spans="1:9" x14ac:dyDescent="0.3">
      <c r="A722">
        <v>13</v>
      </c>
      <c r="B722">
        <v>9</v>
      </c>
      <c r="C722" s="4">
        <v>66.22</v>
      </c>
      <c r="D722" t="s">
        <v>12</v>
      </c>
      <c r="E722" t="s">
        <v>13</v>
      </c>
      <c r="F722">
        <v>2025</v>
      </c>
      <c r="G722" s="4">
        <v>66.22</v>
      </c>
      <c r="H722">
        <v>91.89</v>
      </c>
      <c r="I722">
        <f t="shared" si="11"/>
        <v>0</v>
      </c>
    </row>
    <row r="723" spans="1:9" x14ac:dyDescent="0.3">
      <c r="A723">
        <v>14</v>
      </c>
      <c r="B723">
        <v>9</v>
      </c>
      <c r="C723" s="4">
        <v>66.22</v>
      </c>
      <c r="D723" t="s">
        <v>12</v>
      </c>
      <c r="E723" t="s">
        <v>13</v>
      </c>
      <c r="F723">
        <v>2025</v>
      </c>
      <c r="G723" s="4">
        <v>66.22</v>
      </c>
      <c r="H723">
        <v>91.89</v>
      </c>
      <c r="I723">
        <f t="shared" si="11"/>
        <v>0</v>
      </c>
    </row>
    <row r="724" spans="1:9" x14ac:dyDescent="0.3">
      <c r="A724">
        <v>15</v>
      </c>
      <c r="B724">
        <v>9</v>
      </c>
      <c r="C724" s="4">
        <v>63.51</v>
      </c>
      <c r="D724" t="s">
        <v>11</v>
      </c>
      <c r="E724" t="s">
        <v>13</v>
      </c>
      <c r="F724">
        <v>2025</v>
      </c>
      <c r="G724" s="4">
        <v>63.51</v>
      </c>
      <c r="H724">
        <v>91.89</v>
      </c>
      <c r="I724">
        <f t="shared" si="11"/>
        <v>0</v>
      </c>
    </row>
    <row r="725" spans="1:9" x14ac:dyDescent="0.3">
      <c r="A725">
        <v>16</v>
      </c>
      <c r="B725">
        <v>9</v>
      </c>
      <c r="C725" s="4">
        <v>63.51</v>
      </c>
      <c r="D725" t="s">
        <v>11</v>
      </c>
      <c r="E725" t="s">
        <v>13</v>
      </c>
      <c r="F725">
        <v>2025</v>
      </c>
      <c r="G725" s="4">
        <v>63.51</v>
      </c>
      <c r="H725">
        <v>91.89</v>
      </c>
      <c r="I725">
        <f t="shared" si="11"/>
        <v>0</v>
      </c>
    </row>
    <row r="726" spans="1:9" x14ac:dyDescent="0.3">
      <c r="A726">
        <v>17</v>
      </c>
      <c r="B726">
        <v>9</v>
      </c>
      <c r="C726" s="4">
        <v>60.81</v>
      </c>
      <c r="D726" t="s">
        <v>11</v>
      </c>
      <c r="E726" t="s">
        <v>13</v>
      </c>
      <c r="F726">
        <v>2025</v>
      </c>
      <c r="G726" s="4">
        <v>60.81</v>
      </c>
      <c r="H726">
        <v>91.89</v>
      </c>
      <c r="I726">
        <f t="shared" si="11"/>
        <v>0</v>
      </c>
    </row>
    <row r="727" spans="1:9" x14ac:dyDescent="0.3">
      <c r="A727">
        <v>18</v>
      </c>
      <c r="B727">
        <v>9</v>
      </c>
      <c r="C727" s="4">
        <v>59.46</v>
      </c>
      <c r="D727" t="s">
        <v>11</v>
      </c>
      <c r="E727" t="s">
        <v>13</v>
      </c>
      <c r="F727">
        <v>2025</v>
      </c>
      <c r="G727" s="4">
        <v>59.46</v>
      </c>
      <c r="H727">
        <v>91.89</v>
      </c>
      <c r="I727">
        <f t="shared" si="11"/>
        <v>0</v>
      </c>
    </row>
    <row r="728" spans="1:9" x14ac:dyDescent="0.3">
      <c r="A728">
        <v>19</v>
      </c>
      <c r="B728">
        <v>9</v>
      </c>
      <c r="C728" s="4">
        <v>59.46</v>
      </c>
      <c r="D728" t="s">
        <v>11</v>
      </c>
      <c r="E728" t="s">
        <v>13</v>
      </c>
      <c r="F728">
        <v>2025</v>
      </c>
      <c r="G728" s="4">
        <v>59.46</v>
      </c>
      <c r="H728">
        <v>91.89</v>
      </c>
      <c r="I728">
        <f t="shared" si="11"/>
        <v>0</v>
      </c>
    </row>
    <row r="729" spans="1:9" x14ac:dyDescent="0.3">
      <c r="A729">
        <v>20</v>
      </c>
      <c r="B729">
        <v>9</v>
      </c>
      <c r="C729" s="4">
        <v>56.76</v>
      </c>
      <c r="D729" t="s">
        <v>11</v>
      </c>
      <c r="E729" t="s">
        <v>13</v>
      </c>
      <c r="F729">
        <v>2025</v>
      </c>
      <c r="G729" s="4">
        <v>56.76</v>
      </c>
      <c r="H729">
        <v>91.89</v>
      </c>
      <c r="I729">
        <f t="shared" si="11"/>
        <v>0</v>
      </c>
    </row>
    <row r="730" spans="1:9" x14ac:dyDescent="0.3">
      <c r="A730">
        <v>21</v>
      </c>
      <c r="B730">
        <v>9</v>
      </c>
      <c r="C730" s="4">
        <v>56.08</v>
      </c>
      <c r="D730" t="s">
        <v>11</v>
      </c>
      <c r="E730" t="s">
        <v>13</v>
      </c>
      <c r="F730">
        <v>2025</v>
      </c>
      <c r="G730" s="4">
        <v>56.08</v>
      </c>
      <c r="H730">
        <v>91.89</v>
      </c>
      <c r="I730">
        <f t="shared" si="11"/>
        <v>0</v>
      </c>
    </row>
    <row r="731" spans="1:9" x14ac:dyDescent="0.3">
      <c r="A731">
        <v>22</v>
      </c>
      <c r="B731">
        <v>9</v>
      </c>
      <c r="C731" s="4">
        <v>54.05</v>
      </c>
      <c r="D731" t="s">
        <v>11</v>
      </c>
      <c r="E731" t="s">
        <v>13</v>
      </c>
      <c r="F731">
        <v>2025</v>
      </c>
      <c r="G731" s="4">
        <v>54.05</v>
      </c>
      <c r="H731">
        <v>91.89</v>
      </c>
      <c r="I731">
        <f t="shared" si="11"/>
        <v>0</v>
      </c>
    </row>
    <row r="732" spans="1:9" x14ac:dyDescent="0.3">
      <c r="A732">
        <v>23</v>
      </c>
      <c r="B732">
        <v>9</v>
      </c>
      <c r="C732" s="4">
        <v>52.03</v>
      </c>
      <c r="D732" t="s">
        <v>11</v>
      </c>
      <c r="E732" t="s">
        <v>13</v>
      </c>
      <c r="F732">
        <v>2025</v>
      </c>
      <c r="G732" s="4">
        <v>52.03</v>
      </c>
      <c r="H732">
        <v>91.89</v>
      </c>
      <c r="I732">
        <f t="shared" si="11"/>
        <v>0</v>
      </c>
    </row>
    <row r="733" spans="1:9" x14ac:dyDescent="0.3">
      <c r="A733">
        <v>24</v>
      </c>
      <c r="B733">
        <v>9</v>
      </c>
      <c r="C733" s="4">
        <v>50</v>
      </c>
      <c r="D733" t="s">
        <v>11</v>
      </c>
      <c r="E733" t="s">
        <v>13</v>
      </c>
      <c r="F733">
        <v>2025</v>
      </c>
      <c r="G733" s="4">
        <v>50</v>
      </c>
      <c r="H733">
        <v>91.89</v>
      </c>
      <c r="I733">
        <f t="shared" si="11"/>
        <v>0</v>
      </c>
    </row>
    <row r="734" spans="1:9" x14ac:dyDescent="0.3">
      <c r="A734">
        <v>25</v>
      </c>
      <c r="B734">
        <v>9</v>
      </c>
      <c r="C734" s="4">
        <v>45.95</v>
      </c>
      <c r="D734" t="s">
        <v>11</v>
      </c>
      <c r="E734" t="s">
        <v>13</v>
      </c>
      <c r="F734">
        <v>2025</v>
      </c>
      <c r="G734" s="4">
        <v>45.95</v>
      </c>
      <c r="H734">
        <v>91.89</v>
      </c>
      <c r="I734">
        <f t="shared" si="11"/>
        <v>0</v>
      </c>
    </row>
    <row r="735" spans="1:9" x14ac:dyDescent="0.3">
      <c r="A735">
        <v>26</v>
      </c>
      <c r="B735">
        <v>9</v>
      </c>
      <c r="C735" s="4">
        <v>45.95</v>
      </c>
      <c r="D735" t="s">
        <v>11</v>
      </c>
      <c r="E735" t="s">
        <v>13</v>
      </c>
      <c r="F735">
        <v>2025</v>
      </c>
      <c r="G735" s="4">
        <v>45.95</v>
      </c>
      <c r="H735">
        <v>91.89</v>
      </c>
      <c r="I735">
        <f t="shared" si="11"/>
        <v>0</v>
      </c>
    </row>
    <row r="736" spans="1:9" x14ac:dyDescent="0.3">
      <c r="A736">
        <v>27</v>
      </c>
      <c r="B736">
        <v>9</v>
      </c>
      <c r="C736" s="4">
        <v>41.89</v>
      </c>
      <c r="D736" t="s">
        <v>11</v>
      </c>
      <c r="E736" t="s">
        <v>13</v>
      </c>
      <c r="F736">
        <v>2025</v>
      </c>
      <c r="G736" s="4">
        <v>41.89</v>
      </c>
      <c r="H736">
        <v>91.89</v>
      </c>
      <c r="I736">
        <f t="shared" si="11"/>
        <v>0</v>
      </c>
    </row>
    <row r="737" spans="1:9" x14ac:dyDescent="0.3">
      <c r="A737">
        <v>28</v>
      </c>
      <c r="B737">
        <v>9</v>
      </c>
      <c r="C737" s="4">
        <v>41.89</v>
      </c>
      <c r="D737" t="s">
        <v>11</v>
      </c>
      <c r="E737" t="s">
        <v>13</v>
      </c>
      <c r="F737">
        <v>2025</v>
      </c>
      <c r="G737" s="4">
        <v>41.89</v>
      </c>
      <c r="H737">
        <v>91.89</v>
      </c>
      <c r="I737">
        <f t="shared" si="11"/>
        <v>0</v>
      </c>
    </row>
    <row r="738" spans="1:9" x14ac:dyDescent="0.3">
      <c r="A738">
        <v>29</v>
      </c>
      <c r="B738">
        <v>9</v>
      </c>
      <c r="C738" s="4">
        <v>41.89</v>
      </c>
      <c r="D738" t="s">
        <v>11</v>
      </c>
      <c r="E738" t="s">
        <v>13</v>
      </c>
      <c r="F738">
        <v>2025</v>
      </c>
      <c r="G738" s="4">
        <v>41.89</v>
      </c>
      <c r="H738">
        <v>91.89</v>
      </c>
      <c r="I738">
        <f t="shared" si="11"/>
        <v>0</v>
      </c>
    </row>
    <row r="739" spans="1:9" x14ac:dyDescent="0.3">
      <c r="A739">
        <v>30</v>
      </c>
      <c r="B739">
        <v>9</v>
      </c>
      <c r="C739" s="4">
        <v>41.89</v>
      </c>
      <c r="D739" t="s">
        <v>11</v>
      </c>
      <c r="E739" t="s">
        <v>13</v>
      </c>
      <c r="F739">
        <v>2025</v>
      </c>
      <c r="G739" s="4">
        <v>41.89</v>
      </c>
      <c r="H739">
        <v>91.89</v>
      </c>
      <c r="I739">
        <f t="shared" si="11"/>
        <v>0</v>
      </c>
    </row>
    <row r="740" spans="1:9" x14ac:dyDescent="0.3">
      <c r="A740">
        <v>31</v>
      </c>
      <c r="B740">
        <v>9</v>
      </c>
      <c r="C740" s="4">
        <v>35.14</v>
      </c>
      <c r="D740" t="s">
        <v>11</v>
      </c>
      <c r="E740" t="s">
        <v>13</v>
      </c>
      <c r="F740">
        <v>2025</v>
      </c>
      <c r="G740" s="4">
        <v>35.14</v>
      </c>
      <c r="H740">
        <v>91.89</v>
      </c>
      <c r="I740">
        <f t="shared" si="11"/>
        <v>0</v>
      </c>
    </row>
    <row r="741" spans="1:9" x14ac:dyDescent="0.3">
      <c r="A741">
        <v>32</v>
      </c>
      <c r="B741">
        <v>9</v>
      </c>
      <c r="C741" s="4">
        <v>14.86</v>
      </c>
      <c r="D741" t="s">
        <v>11</v>
      </c>
      <c r="E741" t="s">
        <v>13</v>
      </c>
      <c r="F741">
        <v>2025</v>
      </c>
      <c r="G741" s="4">
        <v>14.86</v>
      </c>
      <c r="H741">
        <v>91.89</v>
      </c>
      <c r="I741">
        <f t="shared" si="11"/>
        <v>0</v>
      </c>
    </row>
    <row r="742" spans="1:9" x14ac:dyDescent="0.3">
      <c r="A742">
        <v>1</v>
      </c>
      <c r="B742">
        <v>10</v>
      </c>
      <c r="C742" s="4">
        <v>94.59</v>
      </c>
      <c r="D742" t="s">
        <v>8</v>
      </c>
      <c r="E742" t="s">
        <v>13</v>
      </c>
      <c r="F742">
        <v>2025</v>
      </c>
      <c r="G742" s="4">
        <v>94.59</v>
      </c>
      <c r="H742">
        <v>91.89</v>
      </c>
      <c r="I742">
        <f t="shared" si="11"/>
        <v>1</v>
      </c>
    </row>
    <row r="743" spans="1:9" x14ac:dyDescent="0.3">
      <c r="A743">
        <v>2</v>
      </c>
      <c r="B743">
        <v>10</v>
      </c>
      <c r="C743" s="4">
        <v>89.56</v>
      </c>
      <c r="D743" t="s">
        <v>8</v>
      </c>
      <c r="E743" t="s">
        <v>13</v>
      </c>
      <c r="F743">
        <v>2025</v>
      </c>
      <c r="G743" s="4">
        <v>89.56</v>
      </c>
      <c r="H743">
        <v>91.89</v>
      </c>
      <c r="I743">
        <f t="shared" si="11"/>
        <v>0</v>
      </c>
    </row>
    <row r="744" spans="1:9" x14ac:dyDescent="0.3">
      <c r="A744">
        <v>3</v>
      </c>
      <c r="B744">
        <v>10</v>
      </c>
      <c r="C744" s="4">
        <v>85.14</v>
      </c>
      <c r="D744" t="s">
        <v>8</v>
      </c>
      <c r="E744" t="s">
        <v>13</v>
      </c>
      <c r="F744">
        <v>2025</v>
      </c>
      <c r="G744" s="4">
        <v>85.14</v>
      </c>
      <c r="H744">
        <v>91.89</v>
      </c>
      <c r="I744">
        <f t="shared" si="11"/>
        <v>0</v>
      </c>
    </row>
    <row r="745" spans="1:9" x14ac:dyDescent="0.3">
      <c r="A745">
        <v>4</v>
      </c>
      <c r="B745">
        <v>10</v>
      </c>
      <c r="C745" s="4">
        <v>78.38</v>
      </c>
      <c r="D745" t="s">
        <v>8</v>
      </c>
      <c r="E745" t="s">
        <v>13</v>
      </c>
      <c r="F745">
        <v>2025</v>
      </c>
      <c r="G745" s="4">
        <v>78.38</v>
      </c>
      <c r="H745">
        <v>91.89</v>
      </c>
      <c r="I745">
        <f t="shared" si="11"/>
        <v>0</v>
      </c>
    </row>
    <row r="746" spans="1:9" x14ac:dyDescent="0.3">
      <c r="A746">
        <v>5</v>
      </c>
      <c r="B746">
        <v>10</v>
      </c>
      <c r="C746" s="4">
        <v>61.49</v>
      </c>
      <c r="D746" t="s">
        <v>12</v>
      </c>
      <c r="E746" t="s">
        <v>13</v>
      </c>
      <c r="F746">
        <v>2025</v>
      </c>
      <c r="G746" s="4">
        <v>61.49</v>
      </c>
      <c r="H746">
        <v>91.89</v>
      </c>
      <c r="I746">
        <f t="shared" si="11"/>
        <v>0</v>
      </c>
    </row>
    <row r="747" spans="1:9" x14ac:dyDescent="0.3">
      <c r="A747">
        <v>6</v>
      </c>
      <c r="B747">
        <v>10</v>
      </c>
      <c r="C747" s="4">
        <v>54.05</v>
      </c>
      <c r="D747" t="s">
        <v>12</v>
      </c>
      <c r="E747" t="s">
        <v>13</v>
      </c>
      <c r="F747">
        <v>2025</v>
      </c>
      <c r="G747" s="4">
        <v>54.05</v>
      </c>
      <c r="H747">
        <v>91.89</v>
      </c>
      <c r="I747">
        <f t="shared" si="11"/>
        <v>0</v>
      </c>
    </row>
    <row r="748" spans="1:9" x14ac:dyDescent="0.3">
      <c r="A748">
        <v>7</v>
      </c>
      <c r="B748">
        <v>10</v>
      </c>
      <c r="C748" s="4">
        <v>52.7</v>
      </c>
      <c r="D748" t="s">
        <v>12</v>
      </c>
      <c r="E748" t="s">
        <v>13</v>
      </c>
      <c r="F748">
        <v>2025</v>
      </c>
      <c r="G748" s="4">
        <v>52.7</v>
      </c>
      <c r="H748">
        <v>91.89</v>
      </c>
      <c r="I748">
        <f t="shared" si="11"/>
        <v>0</v>
      </c>
    </row>
    <row r="749" spans="1:9" x14ac:dyDescent="0.3">
      <c r="A749">
        <v>8</v>
      </c>
      <c r="B749">
        <v>10</v>
      </c>
      <c r="C749" s="4">
        <v>52.7</v>
      </c>
      <c r="D749" t="s">
        <v>12</v>
      </c>
      <c r="E749" t="s">
        <v>13</v>
      </c>
      <c r="F749">
        <v>2025</v>
      </c>
      <c r="G749" s="4">
        <v>52.7</v>
      </c>
      <c r="H749">
        <v>91.89</v>
      </c>
      <c r="I749">
        <f t="shared" si="11"/>
        <v>0</v>
      </c>
    </row>
    <row r="750" spans="1:9" x14ac:dyDescent="0.3">
      <c r="A750">
        <v>9</v>
      </c>
      <c r="B750">
        <v>10</v>
      </c>
      <c r="C750" s="4">
        <v>50</v>
      </c>
      <c r="D750" t="s">
        <v>12</v>
      </c>
      <c r="E750" t="s">
        <v>13</v>
      </c>
      <c r="F750">
        <v>2025</v>
      </c>
      <c r="G750" s="4">
        <v>50</v>
      </c>
      <c r="H750">
        <v>91.89</v>
      </c>
      <c r="I750">
        <f t="shared" si="11"/>
        <v>0</v>
      </c>
    </row>
    <row r="751" spans="1:9" x14ac:dyDescent="0.3">
      <c r="A751">
        <v>10</v>
      </c>
      <c r="B751">
        <v>10</v>
      </c>
      <c r="C751" s="4">
        <v>50</v>
      </c>
      <c r="D751" t="s">
        <v>12</v>
      </c>
      <c r="E751" t="s">
        <v>13</v>
      </c>
      <c r="F751">
        <v>2025</v>
      </c>
      <c r="G751" s="4">
        <v>50</v>
      </c>
      <c r="H751">
        <v>91.89</v>
      </c>
      <c r="I751">
        <f t="shared" si="11"/>
        <v>0</v>
      </c>
    </row>
    <row r="752" spans="1:9" x14ac:dyDescent="0.3">
      <c r="A752">
        <v>11</v>
      </c>
      <c r="B752">
        <v>10</v>
      </c>
      <c r="C752" s="4">
        <v>50</v>
      </c>
      <c r="D752" t="s">
        <v>12</v>
      </c>
      <c r="E752" t="s">
        <v>13</v>
      </c>
      <c r="F752">
        <v>2025</v>
      </c>
      <c r="G752" s="4">
        <v>50</v>
      </c>
      <c r="H752">
        <v>91.89</v>
      </c>
      <c r="I752">
        <f t="shared" si="11"/>
        <v>0</v>
      </c>
    </row>
    <row r="753" spans="1:9" x14ac:dyDescent="0.3">
      <c r="A753">
        <v>12</v>
      </c>
      <c r="B753">
        <v>10</v>
      </c>
      <c r="C753" s="4">
        <v>47.3</v>
      </c>
      <c r="D753" t="s">
        <v>12</v>
      </c>
      <c r="E753" t="s">
        <v>13</v>
      </c>
      <c r="F753">
        <v>2025</v>
      </c>
      <c r="G753" s="4">
        <v>47.3</v>
      </c>
      <c r="H753">
        <v>91.89</v>
      </c>
      <c r="I753">
        <f t="shared" si="11"/>
        <v>0</v>
      </c>
    </row>
    <row r="754" spans="1:9" x14ac:dyDescent="0.3">
      <c r="A754">
        <v>13</v>
      </c>
      <c r="B754">
        <v>10</v>
      </c>
      <c r="C754" s="4">
        <v>47.3</v>
      </c>
      <c r="D754" t="s">
        <v>12</v>
      </c>
      <c r="E754" t="s">
        <v>13</v>
      </c>
      <c r="F754">
        <v>2025</v>
      </c>
      <c r="G754" s="4">
        <v>47.3</v>
      </c>
      <c r="H754">
        <v>91.89</v>
      </c>
      <c r="I754">
        <f t="shared" si="11"/>
        <v>0</v>
      </c>
    </row>
    <row r="755" spans="1:9" x14ac:dyDescent="0.3">
      <c r="A755">
        <v>14</v>
      </c>
      <c r="B755">
        <v>10</v>
      </c>
      <c r="C755" s="4">
        <v>46.62</v>
      </c>
      <c r="D755" t="s">
        <v>12</v>
      </c>
      <c r="E755" t="s">
        <v>13</v>
      </c>
      <c r="F755">
        <v>2025</v>
      </c>
      <c r="G755" s="4">
        <v>46.62</v>
      </c>
      <c r="H755">
        <v>91.89</v>
      </c>
      <c r="I755">
        <f t="shared" si="11"/>
        <v>0</v>
      </c>
    </row>
    <row r="756" spans="1:9" x14ac:dyDescent="0.3">
      <c r="A756">
        <v>15</v>
      </c>
      <c r="B756">
        <v>10</v>
      </c>
      <c r="C756" s="4">
        <v>44.59</v>
      </c>
      <c r="D756" t="s">
        <v>12</v>
      </c>
      <c r="E756" t="s">
        <v>13</v>
      </c>
      <c r="F756">
        <v>2025</v>
      </c>
      <c r="G756" s="4">
        <v>44.59</v>
      </c>
      <c r="H756">
        <v>91.89</v>
      </c>
      <c r="I756">
        <f t="shared" si="11"/>
        <v>0</v>
      </c>
    </row>
    <row r="757" spans="1:9" x14ac:dyDescent="0.3">
      <c r="A757">
        <v>16</v>
      </c>
      <c r="B757">
        <v>10</v>
      </c>
      <c r="C757" s="4">
        <v>44.59</v>
      </c>
      <c r="D757" t="s">
        <v>12</v>
      </c>
      <c r="E757" t="s">
        <v>13</v>
      </c>
      <c r="F757">
        <v>2025</v>
      </c>
      <c r="G757" s="4">
        <v>44.59</v>
      </c>
      <c r="H757">
        <v>91.89</v>
      </c>
      <c r="I757">
        <f t="shared" si="11"/>
        <v>0</v>
      </c>
    </row>
    <row r="758" spans="1:9" x14ac:dyDescent="0.3">
      <c r="A758">
        <v>17</v>
      </c>
      <c r="B758">
        <v>10</v>
      </c>
      <c r="C758" s="4">
        <v>43.24</v>
      </c>
      <c r="D758" t="s">
        <v>12</v>
      </c>
      <c r="E758" t="s">
        <v>13</v>
      </c>
      <c r="F758">
        <v>2025</v>
      </c>
      <c r="G758" s="4">
        <v>43.24</v>
      </c>
      <c r="H758">
        <v>91.89</v>
      </c>
      <c r="I758">
        <f t="shared" si="11"/>
        <v>0</v>
      </c>
    </row>
    <row r="759" spans="1:9" x14ac:dyDescent="0.3">
      <c r="A759">
        <v>18</v>
      </c>
      <c r="B759">
        <v>10</v>
      </c>
      <c r="C759" s="4">
        <v>43.24</v>
      </c>
      <c r="D759" t="s">
        <v>12</v>
      </c>
      <c r="E759" t="s">
        <v>13</v>
      </c>
      <c r="F759">
        <v>2025</v>
      </c>
      <c r="G759" s="4">
        <v>43.24</v>
      </c>
      <c r="H759">
        <v>91.89</v>
      </c>
      <c r="I759">
        <f t="shared" si="11"/>
        <v>0</v>
      </c>
    </row>
    <row r="760" spans="1:9" x14ac:dyDescent="0.3">
      <c r="A760">
        <v>19</v>
      </c>
      <c r="B760">
        <v>10</v>
      </c>
      <c r="C760" s="4">
        <v>41.89</v>
      </c>
      <c r="D760" t="s">
        <v>11</v>
      </c>
      <c r="E760" t="s">
        <v>13</v>
      </c>
      <c r="F760">
        <v>2025</v>
      </c>
      <c r="G760" s="4">
        <v>41.89</v>
      </c>
      <c r="H760">
        <v>91.89</v>
      </c>
      <c r="I760">
        <f t="shared" si="11"/>
        <v>0</v>
      </c>
    </row>
    <row r="761" spans="1:9" x14ac:dyDescent="0.3">
      <c r="A761">
        <v>20</v>
      </c>
      <c r="B761">
        <v>10</v>
      </c>
      <c r="C761" s="4">
        <v>39.86</v>
      </c>
      <c r="D761" t="s">
        <v>11</v>
      </c>
      <c r="E761" t="s">
        <v>13</v>
      </c>
      <c r="F761">
        <v>2025</v>
      </c>
      <c r="G761" s="4">
        <v>39.86</v>
      </c>
      <c r="H761">
        <v>91.89</v>
      </c>
      <c r="I761">
        <f t="shared" si="11"/>
        <v>0</v>
      </c>
    </row>
    <row r="762" spans="1:9" x14ac:dyDescent="0.3">
      <c r="A762">
        <v>21</v>
      </c>
      <c r="B762">
        <v>10</v>
      </c>
      <c r="C762" s="4">
        <v>39.19</v>
      </c>
      <c r="D762" t="s">
        <v>11</v>
      </c>
      <c r="E762" t="s">
        <v>13</v>
      </c>
      <c r="F762">
        <v>2025</v>
      </c>
      <c r="G762" s="4">
        <v>39.19</v>
      </c>
      <c r="H762">
        <v>91.89</v>
      </c>
      <c r="I762">
        <f t="shared" si="11"/>
        <v>0</v>
      </c>
    </row>
    <row r="763" spans="1:9" x14ac:dyDescent="0.3">
      <c r="A763">
        <v>22</v>
      </c>
      <c r="B763">
        <v>10</v>
      </c>
      <c r="C763" s="4">
        <v>37.159999999999997</v>
      </c>
      <c r="D763" t="s">
        <v>11</v>
      </c>
      <c r="E763" t="s">
        <v>13</v>
      </c>
      <c r="F763">
        <v>2025</v>
      </c>
      <c r="G763" s="4">
        <v>37.159999999999997</v>
      </c>
      <c r="H763">
        <v>91.89</v>
      </c>
      <c r="I763">
        <f t="shared" si="11"/>
        <v>0</v>
      </c>
    </row>
    <row r="764" spans="1:9" x14ac:dyDescent="0.3">
      <c r="A764">
        <v>23</v>
      </c>
      <c r="B764">
        <v>10</v>
      </c>
      <c r="C764" s="4">
        <v>36.49</v>
      </c>
      <c r="D764" t="s">
        <v>11</v>
      </c>
      <c r="E764" t="s">
        <v>13</v>
      </c>
      <c r="F764">
        <v>2025</v>
      </c>
      <c r="G764" s="4">
        <v>36.49</v>
      </c>
      <c r="H764">
        <v>91.89</v>
      </c>
      <c r="I764">
        <f t="shared" si="11"/>
        <v>0</v>
      </c>
    </row>
    <row r="765" spans="1:9" x14ac:dyDescent="0.3">
      <c r="A765">
        <v>24</v>
      </c>
      <c r="B765">
        <v>10</v>
      </c>
      <c r="C765" s="4">
        <v>36.49</v>
      </c>
      <c r="D765" t="s">
        <v>11</v>
      </c>
      <c r="E765" t="s">
        <v>13</v>
      </c>
      <c r="F765">
        <v>2025</v>
      </c>
      <c r="G765" s="4">
        <v>36.49</v>
      </c>
      <c r="H765">
        <v>91.89</v>
      </c>
      <c r="I765">
        <f t="shared" si="11"/>
        <v>0</v>
      </c>
    </row>
    <row r="766" spans="1:9" x14ac:dyDescent="0.3">
      <c r="A766">
        <v>25</v>
      </c>
      <c r="B766">
        <v>10</v>
      </c>
      <c r="C766" s="4">
        <v>35.14</v>
      </c>
      <c r="D766" t="s">
        <v>11</v>
      </c>
      <c r="E766" t="s">
        <v>13</v>
      </c>
      <c r="F766">
        <v>2025</v>
      </c>
      <c r="G766" s="4">
        <v>35.14</v>
      </c>
      <c r="H766">
        <v>91.89</v>
      </c>
      <c r="I766">
        <f t="shared" si="11"/>
        <v>0</v>
      </c>
    </row>
    <row r="767" spans="1:9" x14ac:dyDescent="0.3">
      <c r="A767">
        <v>26</v>
      </c>
      <c r="B767">
        <v>10</v>
      </c>
      <c r="C767" s="4">
        <v>33.78</v>
      </c>
      <c r="D767" t="s">
        <v>11</v>
      </c>
      <c r="E767" t="s">
        <v>13</v>
      </c>
      <c r="F767">
        <v>2025</v>
      </c>
      <c r="G767" s="4">
        <v>33.78</v>
      </c>
      <c r="H767">
        <v>91.89</v>
      </c>
      <c r="I767">
        <f t="shared" si="11"/>
        <v>0</v>
      </c>
    </row>
    <row r="768" spans="1:9" x14ac:dyDescent="0.3">
      <c r="A768">
        <v>27</v>
      </c>
      <c r="B768">
        <v>10</v>
      </c>
      <c r="C768" s="4">
        <v>32.43</v>
      </c>
      <c r="D768" t="s">
        <v>11</v>
      </c>
      <c r="E768" t="s">
        <v>13</v>
      </c>
      <c r="F768">
        <v>2025</v>
      </c>
      <c r="G768" s="4">
        <v>32.43</v>
      </c>
      <c r="H768">
        <v>91.89</v>
      </c>
      <c r="I768">
        <f t="shared" si="11"/>
        <v>0</v>
      </c>
    </row>
    <row r="769" spans="1:9" x14ac:dyDescent="0.3">
      <c r="A769">
        <v>28</v>
      </c>
      <c r="B769">
        <v>10</v>
      </c>
      <c r="C769" s="4">
        <v>32.43</v>
      </c>
      <c r="D769" t="s">
        <v>11</v>
      </c>
      <c r="E769" t="s">
        <v>13</v>
      </c>
      <c r="F769">
        <v>2025</v>
      </c>
      <c r="G769" s="4">
        <v>32.43</v>
      </c>
      <c r="H769">
        <v>91.89</v>
      </c>
      <c r="I769">
        <f t="shared" si="11"/>
        <v>0</v>
      </c>
    </row>
    <row r="770" spans="1:9" x14ac:dyDescent="0.3">
      <c r="A770">
        <v>29</v>
      </c>
      <c r="B770">
        <v>10</v>
      </c>
      <c r="C770" s="4">
        <v>29.73</v>
      </c>
      <c r="D770" t="s">
        <v>11</v>
      </c>
      <c r="E770" t="s">
        <v>13</v>
      </c>
      <c r="F770">
        <v>2025</v>
      </c>
      <c r="G770" s="4">
        <v>29.73</v>
      </c>
      <c r="H770">
        <v>91.89</v>
      </c>
      <c r="I770">
        <f t="shared" si="11"/>
        <v>0</v>
      </c>
    </row>
    <row r="771" spans="1:9" x14ac:dyDescent="0.3">
      <c r="A771">
        <v>30</v>
      </c>
      <c r="B771">
        <v>10</v>
      </c>
      <c r="C771" s="4">
        <v>29.73</v>
      </c>
      <c r="D771" t="s">
        <v>11</v>
      </c>
      <c r="E771" t="s">
        <v>13</v>
      </c>
      <c r="F771">
        <v>2025</v>
      </c>
      <c r="G771" s="4">
        <v>29.73</v>
      </c>
      <c r="H771">
        <v>91.89</v>
      </c>
      <c r="I771">
        <f t="shared" ref="I771:I834" si="12">IF(C771&gt;=H771,1,0)</f>
        <v>0</v>
      </c>
    </row>
    <row r="772" spans="1:9" x14ac:dyDescent="0.3">
      <c r="A772">
        <v>31</v>
      </c>
      <c r="B772">
        <v>10</v>
      </c>
      <c r="C772" s="4">
        <v>27.03</v>
      </c>
      <c r="D772" t="s">
        <v>11</v>
      </c>
      <c r="E772" t="s">
        <v>13</v>
      </c>
      <c r="F772">
        <v>2025</v>
      </c>
      <c r="G772" s="4">
        <v>27.03</v>
      </c>
      <c r="H772">
        <v>91.89</v>
      </c>
      <c r="I772">
        <f t="shared" si="12"/>
        <v>0</v>
      </c>
    </row>
    <row r="773" spans="1:9" x14ac:dyDescent="0.3">
      <c r="A773">
        <v>32</v>
      </c>
      <c r="B773">
        <v>10</v>
      </c>
      <c r="C773" s="4">
        <v>25.68</v>
      </c>
      <c r="D773" t="s">
        <v>11</v>
      </c>
      <c r="E773" t="s">
        <v>13</v>
      </c>
      <c r="F773">
        <v>2025</v>
      </c>
      <c r="G773" s="4">
        <v>25.68</v>
      </c>
      <c r="H773">
        <v>91.89</v>
      </c>
      <c r="I773">
        <f t="shared" si="12"/>
        <v>0</v>
      </c>
    </row>
    <row r="774" spans="1:9" x14ac:dyDescent="0.3">
      <c r="A774">
        <v>33</v>
      </c>
      <c r="B774">
        <v>10</v>
      </c>
      <c r="C774" s="4">
        <v>25.68</v>
      </c>
      <c r="D774" t="s">
        <v>11</v>
      </c>
      <c r="E774" t="s">
        <v>13</v>
      </c>
      <c r="F774">
        <v>2025</v>
      </c>
      <c r="G774" s="4">
        <v>25.68</v>
      </c>
      <c r="H774">
        <v>91.89</v>
      </c>
      <c r="I774">
        <f t="shared" si="12"/>
        <v>0</v>
      </c>
    </row>
    <row r="775" spans="1:9" x14ac:dyDescent="0.3">
      <c r="A775">
        <v>34</v>
      </c>
      <c r="B775">
        <v>10</v>
      </c>
      <c r="C775" s="4">
        <v>24.32</v>
      </c>
      <c r="D775" t="s">
        <v>11</v>
      </c>
      <c r="E775" t="s">
        <v>13</v>
      </c>
      <c r="F775">
        <v>2025</v>
      </c>
      <c r="G775" s="4">
        <v>24.32</v>
      </c>
      <c r="H775">
        <v>91.89</v>
      </c>
      <c r="I775">
        <f t="shared" si="12"/>
        <v>0</v>
      </c>
    </row>
    <row r="776" spans="1:9" x14ac:dyDescent="0.3">
      <c r="A776">
        <v>35</v>
      </c>
      <c r="B776">
        <v>10</v>
      </c>
      <c r="C776" s="4">
        <v>22.97</v>
      </c>
      <c r="D776" t="s">
        <v>11</v>
      </c>
      <c r="E776" t="s">
        <v>13</v>
      </c>
      <c r="F776">
        <v>2025</v>
      </c>
      <c r="G776" s="4">
        <v>22.97</v>
      </c>
      <c r="H776">
        <v>91.89</v>
      </c>
      <c r="I776">
        <f t="shared" si="12"/>
        <v>0</v>
      </c>
    </row>
    <row r="777" spans="1:9" x14ac:dyDescent="0.3">
      <c r="A777">
        <v>36</v>
      </c>
      <c r="B777">
        <v>10</v>
      </c>
      <c r="C777" s="4">
        <v>21.62</v>
      </c>
      <c r="D777" t="s">
        <v>11</v>
      </c>
      <c r="E777" t="s">
        <v>13</v>
      </c>
      <c r="F777">
        <v>2025</v>
      </c>
      <c r="G777" s="4">
        <v>21.62</v>
      </c>
      <c r="H777">
        <v>91.89</v>
      </c>
      <c r="I777">
        <f t="shared" si="12"/>
        <v>0</v>
      </c>
    </row>
    <row r="778" spans="1:9" x14ac:dyDescent="0.3">
      <c r="A778">
        <v>37</v>
      </c>
      <c r="B778">
        <v>10</v>
      </c>
      <c r="C778" s="4">
        <v>20.27</v>
      </c>
      <c r="D778" t="s">
        <v>11</v>
      </c>
      <c r="E778" t="s">
        <v>13</v>
      </c>
      <c r="F778">
        <v>2025</v>
      </c>
      <c r="G778" s="4">
        <v>20.27</v>
      </c>
      <c r="H778">
        <v>91.89</v>
      </c>
      <c r="I778">
        <f t="shared" si="12"/>
        <v>0</v>
      </c>
    </row>
    <row r="779" spans="1:9" x14ac:dyDescent="0.3">
      <c r="A779">
        <v>38</v>
      </c>
      <c r="B779">
        <v>10</v>
      </c>
      <c r="C779" s="4">
        <v>18.920000000000002</v>
      </c>
      <c r="D779" t="s">
        <v>11</v>
      </c>
      <c r="E779" t="s">
        <v>13</v>
      </c>
      <c r="F779">
        <v>2025</v>
      </c>
      <c r="G779" s="4">
        <v>18.920000000000002</v>
      </c>
      <c r="H779">
        <v>91.89</v>
      </c>
      <c r="I779">
        <f t="shared" si="12"/>
        <v>0</v>
      </c>
    </row>
    <row r="780" spans="1:9" x14ac:dyDescent="0.3">
      <c r="A780">
        <v>39</v>
      </c>
      <c r="B780">
        <v>10</v>
      </c>
      <c r="C780" s="4">
        <v>14.86</v>
      </c>
      <c r="D780" t="s">
        <v>11</v>
      </c>
      <c r="E780" t="s">
        <v>13</v>
      </c>
      <c r="F780">
        <v>2025</v>
      </c>
      <c r="G780" s="4">
        <v>14.86</v>
      </c>
      <c r="H780">
        <v>91.89</v>
      </c>
      <c r="I780">
        <f t="shared" si="12"/>
        <v>0</v>
      </c>
    </row>
    <row r="781" spans="1:9" x14ac:dyDescent="0.3">
      <c r="A781">
        <v>40</v>
      </c>
      <c r="B781">
        <v>10</v>
      </c>
      <c r="C781" s="4">
        <v>9.4600000000000009</v>
      </c>
      <c r="D781" t="s">
        <v>11</v>
      </c>
      <c r="E781" t="s">
        <v>13</v>
      </c>
      <c r="F781">
        <v>2025</v>
      </c>
      <c r="G781" s="4">
        <v>9.4600000000000009</v>
      </c>
      <c r="H781">
        <v>91.89</v>
      </c>
      <c r="I781">
        <f t="shared" si="12"/>
        <v>0</v>
      </c>
    </row>
    <row r="782" spans="1:9" x14ac:dyDescent="0.3">
      <c r="A782">
        <v>41</v>
      </c>
      <c r="B782">
        <v>10</v>
      </c>
      <c r="C782" s="4">
        <v>5.41</v>
      </c>
      <c r="D782" t="s">
        <v>11</v>
      </c>
      <c r="E782" t="s">
        <v>13</v>
      </c>
      <c r="F782">
        <v>2025</v>
      </c>
      <c r="G782" s="4">
        <v>5.41</v>
      </c>
      <c r="H782">
        <v>91.89</v>
      </c>
      <c r="I782">
        <f t="shared" si="12"/>
        <v>0</v>
      </c>
    </row>
    <row r="783" spans="1:9" x14ac:dyDescent="0.3">
      <c r="A783">
        <v>42</v>
      </c>
      <c r="B783">
        <v>10</v>
      </c>
      <c r="C783" s="4">
        <v>2.7</v>
      </c>
      <c r="D783" t="s">
        <v>11</v>
      </c>
      <c r="E783" t="s">
        <v>13</v>
      </c>
      <c r="F783">
        <v>2025</v>
      </c>
      <c r="G783" s="4">
        <v>2.7</v>
      </c>
      <c r="H783">
        <v>91.89</v>
      </c>
      <c r="I783">
        <f t="shared" si="12"/>
        <v>0</v>
      </c>
    </row>
    <row r="784" spans="1:9" x14ac:dyDescent="0.3">
      <c r="A784">
        <v>1</v>
      </c>
      <c r="B784">
        <v>11</v>
      </c>
      <c r="C784" s="4">
        <v>90.54</v>
      </c>
      <c r="D784" t="s">
        <v>8</v>
      </c>
      <c r="E784" t="s">
        <v>13</v>
      </c>
      <c r="F784">
        <v>2025</v>
      </c>
      <c r="G784" s="4">
        <v>90.54</v>
      </c>
      <c r="H784">
        <v>93.92</v>
      </c>
      <c r="I784">
        <f t="shared" si="12"/>
        <v>0</v>
      </c>
    </row>
    <row r="785" spans="1:9" x14ac:dyDescent="0.3">
      <c r="A785">
        <v>2</v>
      </c>
      <c r="B785">
        <v>11</v>
      </c>
      <c r="C785" s="4">
        <v>87.84</v>
      </c>
      <c r="D785" t="s">
        <v>8</v>
      </c>
      <c r="E785" t="s">
        <v>13</v>
      </c>
      <c r="F785">
        <v>2025</v>
      </c>
      <c r="G785" s="4">
        <v>87.84</v>
      </c>
      <c r="H785">
        <v>93.92</v>
      </c>
      <c r="I785">
        <f t="shared" si="12"/>
        <v>0</v>
      </c>
    </row>
    <row r="786" spans="1:9" x14ac:dyDescent="0.3">
      <c r="A786">
        <v>3</v>
      </c>
      <c r="B786">
        <v>11</v>
      </c>
      <c r="C786" s="4">
        <v>85.14</v>
      </c>
      <c r="D786" t="s">
        <v>8</v>
      </c>
      <c r="E786" t="s">
        <v>13</v>
      </c>
      <c r="F786">
        <v>2025</v>
      </c>
      <c r="G786" s="4">
        <v>85.14</v>
      </c>
      <c r="H786">
        <v>93.92</v>
      </c>
      <c r="I786">
        <f t="shared" si="12"/>
        <v>0</v>
      </c>
    </row>
    <row r="787" spans="1:9" x14ac:dyDescent="0.3">
      <c r="A787">
        <v>4</v>
      </c>
      <c r="B787">
        <v>11</v>
      </c>
      <c r="C787" s="4">
        <v>84.46</v>
      </c>
      <c r="D787" t="s">
        <v>12</v>
      </c>
      <c r="E787" t="s">
        <v>13</v>
      </c>
      <c r="F787">
        <v>2025</v>
      </c>
      <c r="G787" s="4">
        <v>84.46</v>
      </c>
      <c r="H787">
        <v>93.92</v>
      </c>
      <c r="I787">
        <f t="shared" si="12"/>
        <v>0</v>
      </c>
    </row>
    <row r="788" spans="1:9" x14ac:dyDescent="0.3">
      <c r="A788">
        <v>5</v>
      </c>
      <c r="B788">
        <v>11</v>
      </c>
      <c r="C788" s="4">
        <v>83.78</v>
      </c>
      <c r="D788" t="s">
        <v>12</v>
      </c>
      <c r="E788" t="s">
        <v>13</v>
      </c>
      <c r="F788">
        <v>2025</v>
      </c>
      <c r="G788" s="4">
        <v>83.78</v>
      </c>
      <c r="H788">
        <v>93.92</v>
      </c>
      <c r="I788">
        <f t="shared" si="12"/>
        <v>0</v>
      </c>
    </row>
    <row r="789" spans="1:9" x14ac:dyDescent="0.3">
      <c r="A789">
        <v>6</v>
      </c>
      <c r="B789">
        <v>11</v>
      </c>
      <c r="C789" s="4">
        <v>81.08</v>
      </c>
      <c r="D789" t="s">
        <v>12</v>
      </c>
      <c r="E789" t="s">
        <v>13</v>
      </c>
      <c r="F789">
        <v>2025</v>
      </c>
      <c r="G789" s="4">
        <v>81.08</v>
      </c>
      <c r="H789">
        <v>93.92</v>
      </c>
      <c r="I789">
        <f t="shared" si="12"/>
        <v>0</v>
      </c>
    </row>
    <row r="790" spans="1:9" x14ac:dyDescent="0.3">
      <c r="A790">
        <v>7</v>
      </c>
      <c r="B790">
        <v>11</v>
      </c>
      <c r="C790" s="4">
        <v>81.08</v>
      </c>
      <c r="D790" t="s">
        <v>12</v>
      </c>
      <c r="E790" t="s">
        <v>13</v>
      </c>
      <c r="F790">
        <v>2025</v>
      </c>
      <c r="G790" s="4">
        <v>81.08</v>
      </c>
      <c r="H790">
        <v>93.92</v>
      </c>
      <c r="I790">
        <f t="shared" si="12"/>
        <v>0</v>
      </c>
    </row>
    <row r="791" spans="1:9" x14ac:dyDescent="0.3">
      <c r="A791">
        <v>8</v>
      </c>
      <c r="B791">
        <v>11</v>
      </c>
      <c r="C791" s="4">
        <v>79.73</v>
      </c>
      <c r="D791" t="s">
        <v>12</v>
      </c>
      <c r="E791" t="s">
        <v>13</v>
      </c>
      <c r="F791">
        <v>2025</v>
      </c>
      <c r="G791" s="4">
        <v>79.73</v>
      </c>
      <c r="H791">
        <v>93.92</v>
      </c>
      <c r="I791">
        <f t="shared" si="12"/>
        <v>0</v>
      </c>
    </row>
    <row r="792" spans="1:9" x14ac:dyDescent="0.3">
      <c r="A792">
        <v>9</v>
      </c>
      <c r="B792">
        <v>11</v>
      </c>
      <c r="C792" s="4">
        <v>77.03</v>
      </c>
      <c r="D792" t="s">
        <v>12</v>
      </c>
      <c r="E792" t="s">
        <v>13</v>
      </c>
      <c r="F792">
        <v>2025</v>
      </c>
      <c r="G792" s="4">
        <v>77.03</v>
      </c>
      <c r="H792">
        <v>93.92</v>
      </c>
      <c r="I792">
        <f t="shared" si="12"/>
        <v>0</v>
      </c>
    </row>
    <row r="793" spans="1:9" x14ac:dyDescent="0.3">
      <c r="A793">
        <v>10</v>
      </c>
      <c r="B793">
        <v>11</v>
      </c>
      <c r="C793" s="4">
        <v>74.319999999999993</v>
      </c>
      <c r="D793" t="s">
        <v>12</v>
      </c>
      <c r="E793" t="s">
        <v>13</v>
      </c>
      <c r="F793">
        <v>2025</v>
      </c>
      <c r="G793" s="4">
        <v>74.319999999999993</v>
      </c>
      <c r="H793">
        <v>93.92</v>
      </c>
      <c r="I793">
        <f t="shared" si="12"/>
        <v>0</v>
      </c>
    </row>
    <row r="794" spans="1:9" x14ac:dyDescent="0.3">
      <c r="A794">
        <v>11</v>
      </c>
      <c r="B794">
        <v>11</v>
      </c>
      <c r="C794" s="4">
        <v>72.97</v>
      </c>
      <c r="D794" t="s">
        <v>12</v>
      </c>
      <c r="E794" t="s">
        <v>13</v>
      </c>
      <c r="F794">
        <v>2025</v>
      </c>
      <c r="G794" s="4">
        <v>72.97</v>
      </c>
      <c r="H794">
        <v>93.92</v>
      </c>
      <c r="I794">
        <f t="shared" si="12"/>
        <v>0</v>
      </c>
    </row>
    <row r="795" spans="1:9" x14ac:dyDescent="0.3">
      <c r="A795">
        <v>12</v>
      </c>
      <c r="B795">
        <v>11</v>
      </c>
      <c r="C795" s="4">
        <v>71.62</v>
      </c>
      <c r="D795" t="s">
        <v>12</v>
      </c>
      <c r="E795" t="s">
        <v>13</v>
      </c>
      <c r="F795">
        <v>2025</v>
      </c>
      <c r="G795" s="4">
        <v>71.62</v>
      </c>
      <c r="H795">
        <v>93.92</v>
      </c>
      <c r="I795">
        <f t="shared" si="12"/>
        <v>0</v>
      </c>
    </row>
    <row r="796" spans="1:9" x14ac:dyDescent="0.3">
      <c r="A796">
        <v>13</v>
      </c>
      <c r="B796">
        <v>11</v>
      </c>
      <c r="C796" s="4">
        <v>70.27</v>
      </c>
      <c r="D796" t="s">
        <v>12</v>
      </c>
      <c r="E796" t="s">
        <v>13</v>
      </c>
      <c r="F796">
        <v>2025</v>
      </c>
      <c r="G796" s="4">
        <v>70.27</v>
      </c>
      <c r="H796">
        <v>93.92</v>
      </c>
      <c r="I796">
        <f t="shared" si="12"/>
        <v>0</v>
      </c>
    </row>
    <row r="797" spans="1:9" x14ac:dyDescent="0.3">
      <c r="A797">
        <v>14</v>
      </c>
      <c r="B797">
        <v>11</v>
      </c>
      <c r="C797" s="4">
        <v>67.569999999999993</v>
      </c>
      <c r="D797" t="s">
        <v>12</v>
      </c>
      <c r="E797" t="s">
        <v>13</v>
      </c>
      <c r="F797">
        <v>2025</v>
      </c>
      <c r="G797" s="4">
        <v>67.569999999999993</v>
      </c>
      <c r="H797">
        <v>93.92</v>
      </c>
      <c r="I797">
        <f t="shared" si="12"/>
        <v>0</v>
      </c>
    </row>
    <row r="798" spans="1:9" x14ac:dyDescent="0.3">
      <c r="A798">
        <v>15</v>
      </c>
      <c r="B798">
        <v>11</v>
      </c>
      <c r="C798" s="4">
        <v>67.569999999999993</v>
      </c>
      <c r="D798" t="s">
        <v>12</v>
      </c>
      <c r="E798" t="s">
        <v>13</v>
      </c>
      <c r="F798">
        <v>2025</v>
      </c>
      <c r="G798" s="4">
        <v>67.569999999999993</v>
      </c>
      <c r="H798">
        <v>93.92</v>
      </c>
      <c r="I798">
        <f t="shared" si="12"/>
        <v>0</v>
      </c>
    </row>
    <row r="799" spans="1:9" x14ac:dyDescent="0.3">
      <c r="A799">
        <v>16</v>
      </c>
      <c r="B799">
        <v>11</v>
      </c>
      <c r="C799" s="4">
        <v>67.569999999999993</v>
      </c>
      <c r="D799" t="s">
        <v>12</v>
      </c>
      <c r="E799" t="s">
        <v>13</v>
      </c>
      <c r="F799">
        <v>2025</v>
      </c>
      <c r="G799" s="4">
        <v>67.569999999999993</v>
      </c>
      <c r="H799">
        <v>93.92</v>
      </c>
      <c r="I799">
        <f t="shared" si="12"/>
        <v>0</v>
      </c>
    </row>
    <row r="800" spans="1:9" x14ac:dyDescent="0.3">
      <c r="A800">
        <v>17</v>
      </c>
      <c r="B800">
        <v>11</v>
      </c>
      <c r="C800" s="4">
        <v>63.51</v>
      </c>
      <c r="D800" t="s">
        <v>11</v>
      </c>
      <c r="E800" t="s">
        <v>13</v>
      </c>
      <c r="F800">
        <v>2025</v>
      </c>
      <c r="G800" s="4">
        <v>63.51</v>
      </c>
      <c r="H800">
        <v>93.92</v>
      </c>
      <c r="I800">
        <f t="shared" si="12"/>
        <v>0</v>
      </c>
    </row>
    <row r="801" spans="1:9" x14ac:dyDescent="0.3">
      <c r="A801">
        <v>18</v>
      </c>
      <c r="B801">
        <v>11</v>
      </c>
      <c r="C801" s="4">
        <v>62.16</v>
      </c>
      <c r="D801" t="s">
        <v>11</v>
      </c>
      <c r="E801" t="s">
        <v>13</v>
      </c>
      <c r="F801">
        <v>2025</v>
      </c>
      <c r="G801" s="4">
        <v>62.16</v>
      </c>
      <c r="H801">
        <v>93.92</v>
      </c>
      <c r="I801">
        <f t="shared" si="12"/>
        <v>0</v>
      </c>
    </row>
    <row r="802" spans="1:9" x14ac:dyDescent="0.3">
      <c r="A802">
        <v>19</v>
      </c>
      <c r="B802">
        <v>11</v>
      </c>
      <c r="C802" s="4">
        <v>60.81</v>
      </c>
      <c r="D802" t="s">
        <v>11</v>
      </c>
      <c r="E802" t="s">
        <v>13</v>
      </c>
      <c r="F802">
        <v>2025</v>
      </c>
      <c r="G802" s="4">
        <v>60.81</v>
      </c>
      <c r="H802">
        <v>93.92</v>
      </c>
      <c r="I802">
        <f t="shared" si="12"/>
        <v>0</v>
      </c>
    </row>
    <row r="803" spans="1:9" x14ac:dyDescent="0.3">
      <c r="A803">
        <v>20</v>
      </c>
      <c r="B803">
        <v>11</v>
      </c>
      <c r="C803" s="4">
        <v>58.11</v>
      </c>
      <c r="D803" t="s">
        <v>11</v>
      </c>
      <c r="E803" t="s">
        <v>13</v>
      </c>
      <c r="F803">
        <v>2025</v>
      </c>
      <c r="G803" s="4">
        <v>58.109999999999992</v>
      </c>
      <c r="H803">
        <v>93.92</v>
      </c>
      <c r="I803">
        <f t="shared" si="12"/>
        <v>0</v>
      </c>
    </row>
    <row r="804" spans="1:9" x14ac:dyDescent="0.3">
      <c r="A804">
        <v>21</v>
      </c>
      <c r="B804">
        <v>11</v>
      </c>
      <c r="C804" s="4">
        <v>56.76</v>
      </c>
      <c r="D804" t="s">
        <v>11</v>
      </c>
      <c r="E804" t="s">
        <v>13</v>
      </c>
      <c r="F804">
        <v>2025</v>
      </c>
      <c r="G804" s="4">
        <v>56.76</v>
      </c>
      <c r="H804">
        <v>93.92</v>
      </c>
      <c r="I804">
        <f t="shared" si="12"/>
        <v>0</v>
      </c>
    </row>
    <row r="805" spans="1:9" x14ac:dyDescent="0.3">
      <c r="A805">
        <v>22</v>
      </c>
      <c r="B805">
        <v>11</v>
      </c>
      <c r="C805" s="4">
        <v>52.7</v>
      </c>
      <c r="D805" t="s">
        <v>11</v>
      </c>
      <c r="E805" t="s">
        <v>13</v>
      </c>
      <c r="F805">
        <v>2025</v>
      </c>
      <c r="G805" s="4">
        <v>52.7</v>
      </c>
      <c r="H805">
        <v>93.92</v>
      </c>
      <c r="I805">
        <f t="shared" si="12"/>
        <v>0</v>
      </c>
    </row>
    <row r="806" spans="1:9" x14ac:dyDescent="0.3">
      <c r="A806">
        <v>23</v>
      </c>
      <c r="B806">
        <v>11</v>
      </c>
      <c r="C806" s="4">
        <v>47.3</v>
      </c>
      <c r="D806" t="s">
        <v>11</v>
      </c>
      <c r="E806" t="s">
        <v>13</v>
      </c>
      <c r="F806">
        <v>2025</v>
      </c>
      <c r="G806" s="4">
        <v>47.3</v>
      </c>
      <c r="H806">
        <v>93.92</v>
      </c>
      <c r="I806">
        <f t="shared" si="12"/>
        <v>0</v>
      </c>
    </row>
    <row r="807" spans="1:9" x14ac:dyDescent="0.3">
      <c r="A807">
        <v>24</v>
      </c>
      <c r="B807">
        <v>11</v>
      </c>
      <c r="C807" s="4">
        <v>45.95</v>
      </c>
      <c r="D807" t="s">
        <v>11</v>
      </c>
      <c r="E807" t="s">
        <v>13</v>
      </c>
      <c r="F807">
        <v>2025</v>
      </c>
      <c r="G807" s="4">
        <v>45.95</v>
      </c>
      <c r="H807">
        <v>93.92</v>
      </c>
      <c r="I807">
        <f t="shared" si="12"/>
        <v>0</v>
      </c>
    </row>
    <row r="808" spans="1:9" x14ac:dyDescent="0.3">
      <c r="A808">
        <v>25</v>
      </c>
      <c r="B808">
        <v>11</v>
      </c>
      <c r="C808" s="4">
        <v>45.95</v>
      </c>
      <c r="D808" t="s">
        <v>11</v>
      </c>
      <c r="E808" t="s">
        <v>13</v>
      </c>
      <c r="F808">
        <v>2025</v>
      </c>
      <c r="G808" s="4">
        <v>45.95</v>
      </c>
      <c r="H808">
        <v>93.92</v>
      </c>
      <c r="I808">
        <f t="shared" si="12"/>
        <v>0</v>
      </c>
    </row>
    <row r="809" spans="1:9" x14ac:dyDescent="0.3">
      <c r="A809">
        <v>26</v>
      </c>
      <c r="B809">
        <v>11</v>
      </c>
      <c r="C809" s="4">
        <v>40.54</v>
      </c>
      <c r="D809" t="s">
        <v>11</v>
      </c>
      <c r="E809" t="s">
        <v>13</v>
      </c>
      <c r="F809">
        <v>2025</v>
      </c>
      <c r="G809" s="4">
        <v>40.54</v>
      </c>
      <c r="H809">
        <v>93.92</v>
      </c>
      <c r="I809">
        <f t="shared" si="12"/>
        <v>0</v>
      </c>
    </row>
    <row r="810" spans="1:9" x14ac:dyDescent="0.3">
      <c r="A810">
        <v>27</v>
      </c>
      <c r="B810">
        <v>11</v>
      </c>
      <c r="C810" s="4">
        <v>37.840000000000003</v>
      </c>
      <c r="D810" t="s">
        <v>11</v>
      </c>
      <c r="E810" t="s">
        <v>13</v>
      </c>
      <c r="F810">
        <v>2025</v>
      </c>
      <c r="G810" s="4">
        <v>37.840000000000003</v>
      </c>
      <c r="H810">
        <v>93.92</v>
      </c>
      <c r="I810">
        <f t="shared" si="12"/>
        <v>0</v>
      </c>
    </row>
    <row r="811" spans="1:9" x14ac:dyDescent="0.3">
      <c r="A811">
        <v>28</v>
      </c>
      <c r="B811">
        <v>11</v>
      </c>
      <c r="C811" s="4">
        <v>37.840000000000003</v>
      </c>
      <c r="D811" t="s">
        <v>11</v>
      </c>
      <c r="E811" t="s">
        <v>13</v>
      </c>
      <c r="F811">
        <v>2025</v>
      </c>
      <c r="G811" s="4">
        <v>37.840000000000003</v>
      </c>
      <c r="H811">
        <v>93.92</v>
      </c>
      <c r="I811">
        <f t="shared" si="12"/>
        <v>0</v>
      </c>
    </row>
    <row r="812" spans="1:9" x14ac:dyDescent="0.3">
      <c r="A812">
        <v>29</v>
      </c>
      <c r="B812">
        <v>11</v>
      </c>
      <c r="C812" s="4">
        <v>35.14</v>
      </c>
      <c r="D812" t="s">
        <v>11</v>
      </c>
      <c r="E812" t="s">
        <v>13</v>
      </c>
      <c r="F812">
        <v>2025</v>
      </c>
      <c r="G812" s="4">
        <v>35.14</v>
      </c>
      <c r="H812">
        <v>93.92</v>
      </c>
      <c r="I812">
        <f t="shared" si="12"/>
        <v>0</v>
      </c>
    </row>
    <row r="813" spans="1:9" x14ac:dyDescent="0.3">
      <c r="A813">
        <v>30</v>
      </c>
      <c r="B813">
        <v>11</v>
      </c>
      <c r="C813" s="4">
        <v>33.78</v>
      </c>
      <c r="D813" t="s">
        <v>11</v>
      </c>
      <c r="E813" t="s">
        <v>13</v>
      </c>
      <c r="F813">
        <v>2025</v>
      </c>
      <c r="G813" s="4">
        <v>33.78</v>
      </c>
      <c r="H813">
        <v>93.92</v>
      </c>
      <c r="I813">
        <f t="shared" si="12"/>
        <v>0</v>
      </c>
    </row>
    <row r="814" spans="1:9" x14ac:dyDescent="0.3">
      <c r="A814">
        <v>31</v>
      </c>
      <c r="B814">
        <v>11</v>
      </c>
      <c r="C814" s="4">
        <v>29.73</v>
      </c>
      <c r="D814" t="s">
        <v>11</v>
      </c>
      <c r="E814" t="s">
        <v>13</v>
      </c>
      <c r="F814">
        <v>2025</v>
      </c>
      <c r="G814" s="4">
        <v>29.73</v>
      </c>
      <c r="H814">
        <v>93.92</v>
      </c>
      <c r="I814">
        <f t="shared" si="12"/>
        <v>0</v>
      </c>
    </row>
    <row r="815" spans="1:9" x14ac:dyDescent="0.3">
      <c r="A815">
        <v>32</v>
      </c>
      <c r="B815">
        <v>11</v>
      </c>
      <c r="C815" s="4">
        <v>27.03</v>
      </c>
      <c r="D815" t="s">
        <v>11</v>
      </c>
      <c r="E815" t="s">
        <v>13</v>
      </c>
      <c r="F815">
        <v>2025</v>
      </c>
      <c r="G815" s="4">
        <v>27.03</v>
      </c>
      <c r="H815">
        <v>93.92</v>
      </c>
      <c r="I815">
        <f t="shared" si="12"/>
        <v>0</v>
      </c>
    </row>
    <row r="816" spans="1:9" x14ac:dyDescent="0.3">
      <c r="A816">
        <v>33</v>
      </c>
      <c r="B816">
        <v>11</v>
      </c>
      <c r="C816" s="4">
        <v>25.68</v>
      </c>
      <c r="D816" t="s">
        <v>11</v>
      </c>
      <c r="E816" t="s">
        <v>13</v>
      </c>
      <c r="F816">
        <v>2025</v>
      </c>
      <c r="G816" s="4">
        <v>25.68</v>
      </c>
      <c r="H816">
        <v>93.92</v>
      </c>
      <c r="I816">
        <f t="shared" si="12"/>
        <v>0</v>
      </c>
    </row>
    <row r="817" spans="1:9" x14ac:dyDescent="0.3">
      <c r="A817">
        <v>34</v>
      </c>
      <c r="B817">
        <v>11</v>
      </c>
      <c r="C817" s="4">
        <v>24.32</v>
      </c>
      <c r="D817" t="s">
        <v>11</v>
      </c>
      <c r="E817" t="s">
        <v>13</v>
      </c>
      <c r="F817">
        <v>2025</v>
      </c>
      <c r="G817" s="4">
        <v>24.32</v>
      </c>
      <c r="H817">
        <v>93.92</v>
      </c>
      <c r="I817">
        <f t="shared" si="12"/>
        <v>0</v>
      </c>
    </row>
    <row r="818" spans="1:9" x14ac:dyDescent="0.3">
      <c r="A818">
        <v>35</v>
      </c>
      <c r="B818">
        <v>11</v>
      </c>
      <c r="C818" s="4">
        <v>24.32</v>
      </c>
      <c r="D818" t="s">
        <v>11</v>
      </c>
      <c r="E818" t="s">
        <v>13</v>
      </c>
      <c r="F818">
        <v>2025</v>
      </c>
      <c r="G818" s="4">
        <v>24.32</v>
      </c>
      <c r="H818">
        <v>93.92</v>
      </c>
      <c r="I818">
        <f t="shared" si="12"/>
        <v>0</v>
      </c>
    </row>
    <row r="819" spans="1:9" x14ac:dyDescent="0.3">
      <c r="A819">
        <v>36</v>
      </c>
      <c r="B819">
        <v>11</v>
      </c>
      <c r="C819" s="4">
        <v>20.27</v>
      </c>
      <c r="D819" t="s">
        <v>11</v>
      </c>
      <c r="E819" t="s">
        <v>13</v>
      </c>
      <c r="F819">
        <v>2025</v>
      </c>
      <c r="G819" s="4">
        <v>20.27</v>
      </c>
      <c r="H819">
        <v>93.92</v>
      </c>
      <c r="I819">
        <f t="shared" si="12"/>
        <v>0</v>
      </c>
    </row>
    <row r="820" spans="1:9" x14ac:dyDescent="0.3">
      <c r="A820">
        <v>37</v>
      </c>
      <c r="B820">
        <v>11</v>
      </c>
      <c r="C820" s="4">
        <v>20.27</v>
      </c>
      <c r="D820" t="s">
        <v>11</v>
      </c>
      <c r="E820" t="s">
        <v>13</v>
      </c>
      <c r="F820">
        <v>2025</v>
      </c>
      <c r="G820" s="4">
        <v>20.27</v>
      </c>
      <c r="H820">
        <v>93.92</v>
      </c>
      <c r="I820">
        <f t="shared" si="12"/>
        <v>0</v>
      </c>
    </row>
    <row r="821" spans="1:9" x14ac:dyDescent="0.3">
      <c r="A821">
        <v>38</v>
      </c>
      <c r="B821">
        <v>11</v>
      </c>
      <c r="C821" s="4">
        <v>18.920000000000002</v>
      </c>
      <c r="D821" t="s">
        <v>11</v>
      </c>
      <c r="E821" t="s">
        <v>13</v>
      </c>
      <c r="F821">
        <v>2025</v>
      </c>
      <c r="G821" s="4">
        <v>18.920000000000002</v>
      </c>
      <c r="H821">
        <v>93.92</v>
      </c>
      <c r="I821">
        <f t="shared" si="12"/>
        <v>0</v>
      </c>
    </row>
    <row r="822" spans="1:9" x14ac:dyDescent="0.3">
      <c r="A822">
        <v>39</v>
      </c>
      <c r="B822">
        <v>11</v>
      </c>
      <c r="C822" s="4">
        <v>9.4600000000000009</v>
      </c>
      <c r="D822" t="s">
        <v>11</v>
      </c>
      <c r="E822" t="s">
        <v>13</v>
      </c>
      <c r="F822">
        <v>2025</v>
      </c>
      <c r="G822" s="4">
        <v>9.4600000000000009</v>
      </c>
      <c r="H822">
        <v>93.92</v>
      </c>
      <c r="I822">
        <f t="shared" si="12"/>
        <v>0</v>
      </c>
    </row>
    <row r="823" spans="1:9" x14ac:dyDescent="0.3">
      <c r="A823">
        <v>1</v>
      </c>
      <c r="B823">
        <v>9</v>
      </c>
      <c r="C823" s="4">
        <v>44</v>
      </c>
      <c r="D823" t="s">
        <v>8</v>
      </c>
      <c r="E823" t="s">
        <v>14</v>
      </c>
      <c r="F823">
        <v>2022</v>
      </c>
      <c r="G823" s="4">
        <v>62.857142857142847</v>
      </c>
      <c r="H823">
        <v>49</v>
      </c>
      <c r="I823">
        <f t="shared" si="12"/>
        <v>0</v>
      </c>
    </row>
    <row r="824" spans="1:9" x14ac:dyDescent="0.3">
      <c r="A824">
        <v>2</v>
      </c>
      <c r="B824">
        <v>9</v>
      </c>
      <c r="C824" s="4">
        <v>36</v>
      </c>
      <c r="D824" t="s">
        <v>10</v>
      </c>
      <c r="E824" t="s">
        <v>14</v>
      </c>
      <c r="F824">
        <v>2022</v>
      </c>
      <c r="G824" s="4">
        <v>51.428571428571423</v>
      </c>
      <c r="H824">
        <v>49</v>
      </c>
      <c r="I824">
        <f t="shared" si="12"/>
        <v>0</v>
      </c>
    </row>
    <row r="825" spans="1:9" x14ac:dyDescent="0.3">
      <c r="A825">
        <v>3</v>
      </c>
      <c r="B825">
        <v>9</v>
      </c>
      <c r="C825" s="4">
        <v>35</v>
      </c>
      <c r="D825" t="s">
        <v>10</v>
      </c>
      <c r="E825" t="s">
        <v>14</v>
      </c>
      <c r="F825">
        <v>2022</v>
      </c>
      <c r="G825" s="4">
        <v>50</v>
      </c>
      <c r="H825">
        <v>49</v>
      </c>
      <c r="I825">
        <f t="shared" si="12"/>
        <v>0</v>
      </c>
    </row>
    <row r="826" spans="1:9" x14ac:dyDescent="0.3">
      <c r="A826">
        <v>4</v>
      </c>
      <c r="B826">
        <v>9</v>
      </c>
      <c r="C826" s="4">
        <v>34</v>
      </c>
      <c r="D826" t="s">
        <v>10</v>
      </c>
      <c r="E826" t="s">
        <v>14</v>
      </c>
      <c r="F826">
        <v>2022</v>
      </c>
      <c r="G826" s="4">
        <v>48.571428571428569</v>
      </c>
      <c r="H826">
        <v>49</v>
      </c>
      <c r="I826">
        <f t="shared" si="12"/>
        <v>0</v>
      </c>
    </row>
    <row r="827" spans="1:9" x14ac:dyDescent="0.3">
      <c r="A827">
        <v>5</v>
      </c>
      <c r="B827">
        <v>9</v>
      </c>
      <c r="C827" s="4">
        <v>30</v>
      </c>
      <c r="D827" t="s">
        <v>10</v>
      </c>
      <c r="E827" t="s">
        <v>14</v>
      </c>
      <c r="F827">
        <v>2022</v>
      </c>
      <c r="G827" s="4">
        <v>42.857142857142847</v>
      </c>
      <c r="H827">
        <v>49</v>
      </c>
      <c r="I827">
        <f t="shared" si="12"/>
        <v>0</v>
      </c>
    </row>
    <row r="828" spans="1:9" x14ac:dyDescent="0.3">
      <c r="A828">
        <v>6</v>
      </c>
      <c r="B828">
        <v>9</v>
      </c>
      <c r="C828" s="4">
        <v>29</v>
      </c>
      <c r="D828" t="s">
        <v>10</v>
      </c>
      <c r="E828" t="s">
        <v>14</v>
      </c>
      <c r="F828">
        <v>2022</v>
      </c>
      <c r="G828" s="4">
        <v>41.428571428571431</v>
      </c>
      <c r="H828">
        <v>49</v>
      </c>
      <c r="I828">
        <f t="shared" si="12"/>
        <v>0</v>
      </c>
    </row>
    <row r="829" spans="1:9" x14ac:dyDescent="0.3">
      <c r="A829">
        <v>7</v>
      </c>
      <c r="B829">
        <v>9</v>
      </c>
      <c r="C829" s="4">
        <v>25</v>
      </c>
      <c r="D829" t="s">
        <v>11</v>
      </c>
      <c r="E829" t="s">
        <v>14</v>
      </c>
      <c r="F829">
        <v>2022</v>
      </c>
      <c r="G829" s="4">
        <v>35.714285714285722</v>
      </c>
      <c r="H829">
        <v>49</v>
      </c>
      <c r="I829">
        <f t="shared" si="12"/>
        <v>0</v>
      </c>
    </row>
    <row r="830" spans="1:9" x14ac:dyDescent="0.3">
      <c r="A830">
        <v>8</v>
      </c>
      <c r="B830">
        <v>9</v>
      </c>
      <c r="C830" s="4">
        <v>22</v>
      </c>
      <c r="D830" t="s">
        <v>11</v>
      </c>
      <c r="E830" t="s">
        <v>14</v>
      </c>
      <c r="F830">
        <v>2022</v>
      </c>
      <c r="G830" s="4">
        <v>31.428571428571431</v>
      </c>
      <c r="H830">
        <v>49</v>
      </c>
      <c r="I830">
        <f t="shared" si="12"/>
        <v>0</v>
      </c>
    </row>
    <row r="831" spans="1:9" x14ac:dyDescent="0.3">
      <c r="A831">
        <v>9</v>
      </c>
      <c r="B831">
        <v>9</v>
      </c>
      <c r="C831" s="4">
        <v>21</v>
      </c>
      <c r="D831" t="s">
        <v>11</v>
      </c>
      <c r="E831" t="s">
        <v>14</v>
      </c>
      <c r="F831">
        <v>2022</v>
      </c>
      <c r="G831" s="4">
        <v>30</v>
      </c>
      <c r="H831">
        <v>49</v>
      </c>
      <c r="I831">
        <f t="shared" si="12"/>
        <v>0</v>
      </c>
    </row>
    <row r="832" spans="1:9" x14ac:dyDescent="0.3">
      <c r="A832">
        <v>10</v>
      </c>
      <c r="B832">
        <v>9</v>
      </c>
      <c r="C832" s="4">
        <v>14</v>
      </c>
      <c r="D832" t="s">
        <v>11</v>
      </c>
      <c r="E832" t="s">
        <v>14</v>
      </c>
      <c r="F832">
        <v>2022</v>
      </c>
      <c r="G832" s="4">
        <v>20</v>
      </c>
      <c r="H832">
        <v>49</v>
      </c>
      <c r="I832">
        <f t="shared" si="12"/>
        <v>0</v>
      </c>
    </row>
    <row r="833" spans="1:9" x14ac:dyDescent="0.3">
      <c r="A833">
        <v>11</v>
      </c>
      <c r="B833">
        <v>9</v>
      </c>
      <c r="C833" s="4">
        <v>12</v>
      </c>
      <c r="D833" t="s">
        <v>11</v>
      </c>
      <c r="E833" t="s">
        <v>14</v>
      </c>
      <c r="F833">
        <v>2022</v>
      </c>
      <c r="G833" s="4">
        <v>17.142857142857139</v>
      </c>
      <c r="H833">
        <v>49</v>
      </c>
      <c r="I833">
        <f t="shared" si="12"/>
        <v>0</v>
      </c>
    </row>
    <row r="834" spans="1:9" x14ac:dyDescent="0.3">
      <c r="A834">
        <v>12</v>
      </c>
      <c r="B834">
        <v>9</v>
      </c>
      <c r="C834" s="4">
        <v>10</v>
      </c>
      <c r="D834" t="s">
        <v>11</v>
      </c>
      <c r="E834" t="s">
        <v>14</v>
      </c>
      <c r="F834">
        <v>2022</v>
      </c>
      <c r="G834" s="4">
        <v>14.285714285714279</v>
      </c>
      <c r="H834">
        <v>49</v>
      </c>
      <c r="I834">
        <f t="shared" si="12"/>
        <v>0</v>
      </c>
    </row>
    <row r="835" spans="1:9" x14ac:dyDescent="0.3">
      <c r="A835">
        <v>13</v>
      </c>
      <c r="B835">
        <v>9</v>
      </c>
      <c r="C835" s="4">
        <v>9</v>
      </c>
      <c r="D835" t="s">
        <v>11</v>
      </c>
      <c r="E835" t="s">
        <v>14</v>
      </c>
      <c r="F835">
        <v>2022</v>
      </c>
      <c r="G835" s="4">
        <v>12.857142857142859</v>
      </c>
      <c r="H835">
        <v>49</v>
      </c>
      <c r="I835">
        <f t="shared" ref="I835:I898" si="13">IF(C835&gt;=H835,1,0)</f>
        <v>0</v>
      </c>
    </row>
    <row r="836" spans="1:9" x14ac:dyDescent="0.3">
      <c r="A836">
        <v>14</v>
      </c>
      <c r="B836">
        <v>9</v>
      </c>
      <c r="C836" s="4">
        <v>9</v>
      </c>
      <c r="D836" t="s">
        <v>11</v>
      </c>
      <c r="E836" t="s">
        <v>14</v>
      </c>
      <c r="F836">
        <v>2022</v>
      </c>
      <c r="G836" s="4">
        <v>12.857142857142859</v>
      </c>
      <c r="H836">
        <v>49</v>
      </c>
      <c r="I836">
        <f t="shared" si="13"/>
        <v>0</v>
      </c>
    </row>
    <row r="837" spans="1:9" x14ac:dyDescent="0.3">
      <c r="A837">
        <v>15</v>
      </c>
      <c r="B837">
        <v>9</v>
      </c>
      <c r="C837" s="4">
        <v>5</v>
      </c>
      <c r="D837" t="s">
        <v>11</v>
      </c>
      <c r="E837" t="s">
        <v>14</v>
      </c>
      <c r="F837">
        <v>2022</v>
      </c>
      <c r="G837" s="4">
        <v>7.1428571428571423</v>
      </c>
      <c r="H837">
        <v>49</v>
      </c>
      <c r="I837">
        <f t="shared" si="13"/>
        <v>0</v>
      </c>
    </row>
    <row r="838" spans="1:9" x14ac:dyDescent="0.3">
      <c r="A838">
        <v>16</v>
      </c>
      <c r="B838">
        <v>9</v>
      </c>
      <c r="C838" s="4">
        <v>2</v>
      </c>
      <c r="D838" t="s">
        <v>11</v>
      </c>
      <c r="E838" t="s">
        <v>14</v>
      </c>
      <c r="F838">
        <v>2022</v>
      </c>
      <c r="G838" s="4">
        <v>2.8571428571428572</v>
      </c>
      <c r="H838">
        <v>49</v>
      </c>
      <c r="I838">
        <f t="shared" si="13"/>
        <v>0</v>
      </c>
    </row>
    <row r="839" spans="1:9" x14ac:dyDescent="0.3">
      <c r="A839">
        <v>17</v>
      </c>
      <c r="B839">
        <v>9</v>
      </c>
      <c r="C839" s="4">
        <v>1</v>
      </c>
      <c r="D839" t="s">
        <v>11</v>
      </c>
      <c r="E839" t="s">
        <v>14</v>
      </c>
      <c r="F839">
        <v>2022</v>
      </c>
      <c r="G839" s="4">
        <v>1.428571428571429</v>
      </c>
      <c r="H839">
        <v>49</v>
      </c>
      <c r="I839">
        <f t="shared" si="13"/>
        <v>0</v>
      </c>
    </row>
    <row r="840" spans="1:9" x14ac:dyDescent="0.3">
      <c r="A840">
        <v>1</v>
      </c>
      <c r="B840">
        <v>10</v>
      </c>
      <c r="C840" s="4">
        <v>57</v>
      </c>
      <c r="D840" t="s">
        <v>8</v>
      </c>
      <c r="E840" t="s">
        <v>14</v>
      </c>
      <c r="F840">
        <v>2022</v>
      </c>
      <c r="G840" s="4">
        <v>81.428571428571431</v>
      </c>
      <c r="H840">
        <v>56</v>
      </c>
      <c r="I840">
        <f t="shared" si="13"/>
        <v>1</v>
      </c>
    </row>
    <row r="841" spans="1:9" x14ac:dyDescent="0.3">
      <c r="A841">
        <v>2</v>
      </c>
      <c r="B841">
        <v>10</v>
      </c>
      <c r="C841" s="4">
        <v>50</v>
      </c>
      <c r="D841" t="s">
        <v>10</v>
      </c>
      <c r="E841" t="s">
        <v>14</v>
      </c>
      <c r="F841">
        <v>2022</v>
      </c>
      <c r="G841" s="4">
        <v>71.428571428571431</v>
      </c>
      <c r="H841">
        <v>56</v>
      </c>
      <c r="I841">
        <f t="shared" si="13"/>
        <v>0</v>
      </c>
    </row>
    <row r="842" spans="1:9" x14ac:dyDescent="0.3">
      <c r="A842">
        <v>3</v>
      </c>
      <c r="B842">
        <v>10</v>
      </c>
      <c r="C842" s="4">
        <v>49</v>
      </c>
      <c r="D842" t="s">
        <v>10</v>
      </c>
      <c r="E842" t="s">
        <v>14</v>
      </c>
      <c r="F842">
        <v>2022</v>
      </c>
      <c r="G842" s="4">
        <v>70</v>
      </c>
      <c r="H842">
        <v>56</v>
      </c>
      <c r="I842">
        <f t="shared" si="13"/>
        <v>0</v>
      </c>
    </row>
    <row r="843" spans="1:9" x14ac:dyDescent="0.3">
      <c r="A843">
        <v>4</v>
      </c>
      <c r="B843">
        <v>10</v>
      </c>
      <c r="C843" s="4">
        <v>44</v>
      </c>
      <c r="D843" t="s">
        <v>10</v>
      </c>
      <c r="E843" t="s">
        <v>14</v>
      </c>
      <c r="F843">
        <v>2022</v>
      </c>
      <c r="G843" s="4">
        <v>62.857142857142847</v>
      </c>
      <c r="H843">
        <v>56</v>
      </c>
      <c r="I843">
        <f t="shared" si="13"/>
        <v>0</v>
      </c>
    </row>
    <row r="844" spans="1:9" x14ac:dyDescent="0.3">
      <c r="A844">
        <v>5</v>
      </c>
      <c r="B844">
        <v>10</v>
      </c>
      <c r="C844" s="4">
        <v>42</v>
      </c>
      <c r="D844" t="s">
        <v>10</v>
      </c>
      <c r="E844" t="s">
        <v>14</v>
      </c>
      <c r="F844">
        <v>2022</v>
      </c>
      <c r="G844" s="4">
        <v>60</v>
      </c>
      <c r="H844">
        <v>56</v>
      </c>
      <c r="I844">
        <f t="shared" si="13"/>
        <v>0</v>
      </c>
    </row>
    <row r="845" spans="1:9" x14ac:dyDescent="0.3">
      <c r="A845">
        <v>6</v>
      </c>
      <c r="B845">
        <v>10</v>
      </c>
      <c r="C845" s="4">
        <v>42</v>
      </c>
      <c r="D845" t="s">
        <v>10</v>
      </c>
      <c r="E845" t="s">
        <v>14</v>
      </c>
      <c r="F845">
        <v>2022</v>
      </c>
      <c r="G845" s="4">
        <v>60</v>
      </c>
      <c r="H845">
        <v>56</v>
      </c>
      <c r="I845">
        <f t="shared" si="13"/>
        <v>0</v>
      </c>
    </row>
    <row r="846" spans="1:9" x14ac:dyDescent="0.3">
      <c r="A846">
        <v>7</v>
      </c>
      <c r="B846">
        <v>10</v>
      </c>
      <c r="C846" s="4">
        <v>38</v>
      </c>
      <c r="D846" t="s">
        <v>10</v>
      </c>
      <c r="E846" t="s">
        <v>14</v>
      </c>
      <c r="F846">
        <v>2022</v>
      </c>
      <c r="G846" s="4">
        <v>54.285714285714278</v>
      </c>
      <c r="H846">
        <v>56</v>
      </c>
      <c r="I846">
        <f t="shared" si="13"/>
        <v>0</v>
      </c>
    </row>
    <row r="847" spans="1:9" x14ac:dyDescent="0.3">
      <c r="A847">
        <v>8</v>
      </c>
      <c r="B847">
        <v>10</v>
      </c>
      <c r="C847" s="4">
        <v>37</v>
      </c>
      <c r="D847" t="s">
        <v>10</v>
      </c>
      <c r="E847" t="s">
        <v>14</v>
      </c>
      <c r="F847">
        <v>2022</v>
      </c>
      <c r="G847" s="4">
        <v>52.857142857142861</v>
      </c>
      <c r="H847">
        <v>56</v>
      </c>
      <c r="I847">
        <f t="shared" si="13"/>
        <v>0</v>
      </c>
    </row>
    <row r="848" spans="1:9" x14ac:dyDescent="0.3">
      <c r="A848">
        <v>9</v>
      </c>
      <c r="B848">
        <v>10</v>
      </c>
      <c r="C848" s="4">
        <v>37</v>
      </c>
      <c r="D848" t="s">
        <v>10</v>
      </c>
      <c r="E848" t="s">
        <v>14</v>
      </c>
      <c r="F848">
        <v>2022</v>
      </c>
      <c r="G848" s="4">
        <v>52.857142857142861</v>
      </c>
      <c r="H848">
        <v>56</v>
      </c>
      <c r="I848">
        <f t="shared" si="13"/>
        <v>0</v>
      </c>
    </row>
    <row r="849" spans="1:9" x14ac:dyDescent="0.3">
      <c r="A849">
        <v>10</v>
      </c>
      <c r="B849">
        <v>10</v>
      </c>
      <c r="C849" s="4">
        <v>36</v>
      </c>
      <c r="D849" t="s">
        <v>10</v>
      </c>
      <c r="E849" t="s">
        <v>14</v>
      </c>
      <c r="F849">
        <v>2022</v>
      </c>
      <c r="G849" s="4">
        <v>51.428571428571423</v>
      </c>
      <c r="H849">
        <v>56</v>
      </c>
      <c r="I849">
        <f t="shared" si="13"/>
        <v>0</v>
      </c>
    </row>
    <row r="850" spans="1:9" x14ac:dyDescent="0.3">
      <c r="A850">
        <v>11</v>
      </c>
      <c r="B850">
        <v>10</v>
      </c>
      <c r="C850" s="4">
        <v>33</v>
      </c>
      <c r="D850" t="s">
        <v>11</v>
      </c>
      <c r="E850" t="s">
        <v>14</v>
      </c>
      <c r="F850">
        <v>2022</v>
      </c>
      <c r="G850" s="4">
        <v>47.142857142857139</v>
      </c>
      <c r="H850">
        <v>56</v>
      </c>
      <c r="I850">
        <f t="shared" si="13"/>
        <v>0</v>
      </c>
    </row>
    <row r="851" spans="1:9" x14ac:dyDescent="0.3">
      <c r="A851">
        <v>12</v>
      </c>
      <c r="B851">
        <v>10</v>
      </c>
      <c r="C851" s="4">
        <v>31</v>
      </c>
      <c r="D851" t="s">
        <v>11</v>
      </c>
      <c r="E851" t="s">
        <v>14</v>
      </c>
      <c r="F851">
        <v>2022</v>
      </c>
      <c r="G851" s="4">
        <v>44.285714285714278</v>
      </c>
      <c r="H851">
        <v>56</v>
      </c>
      <c r="I851">
        <f t="shared" si="13"/>
        <v>0</v>
      </c>
    </row>
    <row r="852" spans="1:9" x14ac:dyDescent="0.3">
      <c r="A852">
        <v>13</v>
      </c>
      <c r="B852">
        <v>10</v>
      </c>
      <c r="C852" s="4">
        <v>30</v>
      </c>
      <c r="D852" t="s">
        <v>11</v>
      </c>
      <c r="E852" t="s">
        <v>14</v>
      </c>
      <c r="F852">
        <v>2022</v>
      </c>
      <c r="G852" s="4">
        <v>42.857142857142847</v>
      </c>
      <c r="H852">
        <v>56</v>
      </c>
      <c r="I852">
        <f t="shared" si="13"/>
        <v>0</v>
      </c>
    </row>
    <row r="853" spans="1:9" x14ac:dyDescent="0.3">
      <c r="A853">
        <v>14</v>
      </c>
      <c r="B853">
        <v>10</v>
      </c>
      <c r="C853" s="4">
        <v>30</v>
      </c>
      <c r="D853" t="s">
        <v>11</v>
      </c>
      <c r="E853" t="s">
        <v>14</v>
      </c>
      <c r="F853">
        <v>2022</v>
      </c>
      <c r="G853" s="4">
        <v>42.857142857142847</v>
      </c>
      <c r="H853">
        <v>56</v>
      </c>
      <c r="I853">
        <f t="shared" si="13"/>
        <v>0</v>
      </c>
    </row>
    <row r="854" spans="1:9" x14ac:dyDescent="0.3">
      <c r="A854">
        <v>15</v>
      </c>
      <c r="B854">
        <v>10</v>
      </c>
      <c r="C854" s="4">
        <v>28</v>
      </c>
      <c r="D854" t="s">
        <v>11</v>
      </c>
      <c r="E854" t="s">
        <v>14</v>
      </c>
      <c r="F854">
        <v>2022</v>
      </c>
      <c r="G854" s="4">
        <v>40</v>
      </c>
      <c r="H854">
        <v>56</v>
      </c>
      <c r="I854">
        <f t="shared" si="13"/>
        <v>0</v>
      </c>
    </row>
    <row r="855" spans="1:9" x14ac:dyDescent="0.3">
      <c r="A855">
        <v>16</v>
      </c>
      <c r="B855">
        <v>10</v>
      </c>
      <c r="C855" s="4">
        <v>27</v>
      </c>
      <c r="D855" t="s">
        <v>11</v>
      </c>
      <c r="E855" t="s">
        <v>14</v>
      </c>
      <c r="F855">
        <v>2022</v>
      </c>
      <c r="G855" s="4">
        <v>38.571428571428577</v>
      </c>
      <c r="H855">
        <v>56</v>
      </c>
      <c r="I855">
        <f t="shared" si="13"/>
        <v>0</v>
      </c>
    </row>
    <row r="856" spans="1:9" x14ac:dyDescent="0.3">
      <c r="A856">
        <v>17</v>
      </c>
      <c r="B856">
        <v>10</v>
      </c>
      <c r="C856" s="4">
        <v>26</v>
      </c>
      <c r="D856" t="s">
        <v>11</v>
      </c>
      <c r="E856" t="s">
        <v>14</v>
      </c>
      <c r="F856">
        <v>2022</v>
      </c>
      <c r="G856" s="4">
        <v>37.142857142857153</v>
      </c>
      <c r="H856">
        <v>56</v>
      </c>
      <c r="I856">
        <f t="shared" si="13"/>
        <v>0</v>
      </c>
    </row>
    <row r="857" spans="1:9" x14ac:dyDescent="0.3">
      <c r="A857">
        <v>18</v>
      </c>
      <c r="B857">
        <v>10</v>
      </c>
      <c r="C857" s="4">
        <v>26</v>
      </c>
      <c r="D857" t="s">
        <v>11</v>
      </c>
      <c r="E857" t="s">
        <v>14</v>
      </c>
      <c r="F857">
        <v>2022</v>
      </c>
      <c r="G857" s="4">
        <v>37.142857142857153</v>
      </c>
      <c r="H857">
        <v>56</v>
      </c>
      <c r="I857">
        <f t="shared" si="13"/>
        <v>0</v>
      </c>
    </row>
    <row r="858" spans="1:9" x14ac:dyDescent="0.3">
      <c r="A858">
        <v>19</v>
      </c>
      <c r="B858">
        <v>10</v>
      </c>
      <c r="C858" s="4">
        <v>23</v>
      </c>
      <c r="D858" t="s">
        <v>11</v>
      </c>
      <c r="E858" t="s">
        <v>14</v>
      </c>
      <c r="F858">
        <v>2022</v>
      </c>
      <c r="G858" s="4">
        <v>32.857142857142847</v>
      </c>
      <c r="H858">
        <v>56</v>
      </c>
      <c r="I858">
        <f t="shared" si="13"/>
        <v>0</v>
      </c>
    </row>
    <row r="859" spans="1:9" x14ac:dyDescent="0.3">
      <c r="A859">
        <v>20</v>
      </c>
      <c r="B859">
        <v>10</v>
      </c>
      <c r="C859" s="4">
        <v>22</v>
      </c>
      <c r="D859" t="s">
        <v>11</v>
      </c>
      <c r="E859" t="s">
        <v>14</v>
      </c>
      <c r="F859">
        <v>2022</v>
      </c>
      <c r="G859" s="4">
        <v>31.428571428571431</v>
      </c>
      <c r="H859">
        <v>56</v>
      </c>
      <c r="I859">
        <f t="shared" si="13"/>
        <v>0</v>
      </c>
    </row>
    <row r="860" spans="1:9" x14ac:dyDescent="0.3">
      <c r="A860">
        <v>21</v>
      </c>
      <c r="B860">
        <v>10</v>
      </c>
      <c r="C860" s="4">
        <v>22</v>
      </c>
      <c r="D860" t="s">
        <v>11</v>
      </c>
      <c r="E860" t="s">
        <v>14</v>
      </c>
      <c r="F860">
        <v>2022</v>
      </c>
      <c r="G860" s="4">
        <v>31.428571428571431</v>
      </c>
      <c r="H860">
        <v>56</v>
      </c>
      <c r="I860">
        <f t="shared" si="13"/>
        <v>0</v>
      </c>
    </row>
    <row r="861" spans="1:9" x14ac:dyDescent="0.3">
      <c r="A861">
        <v>22</v>
      </c>
      <c r="B861">
        <v>10</v>
      </c>
      <c r="C861" s="4">
        <v>20</v>
      </c>
      <c r="D861" t="s">
        <v>11</v>
      </c>
      <c r="E861" t="s">
        <v>14</v>
      </c>
      <c r="F861">
        <v>2022</v>
      </c>
      <c r="G861" s="4">
        <v>28.571428571428569</v>
      </c>
      <c r="H861">
        <v>56</v>
      </c>
      <c r="I861">
        <f t="shared" si="13"/>
        <v>0</v>
      </c>
    </row>
    <row r="862" spans="1:9" x14ac:dyDescent="0.3">
      <c r="A862">
        <v>23</v>
      </c>
      <c r="B862">
        <v>10</v>
      </c>
      <c r="C862" s="4">
        <v>16</v>
      </c>
      <c r="D862" t="s">
        <v>11</v>
      </c>
      <c r="E862" t="s">
        <v>14</v>
      </c>
      <c r="F862">
        <v>2022</v>
      </c>
      <c r="G862" s="4">
        <v>22.857142857142861</v>
      </c>
      <c r="H862">
        <v>56</v>
      </c>
      <c r="I862">
        <f t="shared" si="13"/>
        <v>0</v>
      </c>
    </row>
    <row r="863" spans="1:9" x14ac:dyDescent="0.3">
      <c r="A863">
        <v>24</v>
      </c>
      <c r="B863">
        <v>10</v>
      </c>
      <c r="C863" s="4">
        <v>15</v>
      </c>
      <c r="D863" t="s">
        <v>11</v>
      </c>
      <c r="E863" t="s">
        <v>14</v>
      </c>
      <c r="F863">
        <v>2022</v>
      </c>
      <c r="G863" s="4">
        <v>21.428571428571431</v>
      </c>
      <c r="H863">
        <v>56</v>
      </c>
      <c r="I863">
        <f t="shared" si="13"/>
        <v>0</v>
      </c>
    </row>
    <row r="864" spans="1:9" x14ac:dyDescent="0.3">
      <c r="A864">
        <v>25</v>
      </c>
      <c r="B864">
        <v>10</v>
      </c>
      <c r="C864" s="4">
        <v>13</v>
      </c>
      <c r="D864" t="s">
        <v>11</v>
      </c>
      <c r="E864" t="s">
        <v>14</v>
      </c>
      <c r="F864">
        <v>2022</v>
      </c>
      <c r="G864" s="4">
        <v>18.571428571428569</v>
      </c>
      <c r="H864">
        <v>56</v>
      </c>
      <c r="I864">
        <f t="shared" si="13"/>
        <v>0</v>
      </c>
    </row>
    <row r="865" spans="1:9" x14ac:dyDescent="0.3">
      <c r="A865">
        <v>1</v>
      </c>
      <c r="B865">
        <v>11</v>
      </c>
      <c r="C865" s="4">
        <v>70</v>
      </c>
      <c r="D865" t="s">
        <v>8</v>
      </c>
      <c r="E865" t="s">
        <v>14</v>
      </c>
      <c r="F865">
        <v>2022</v>
      </c>
      <c r="G865" s="4">
        <v>100</v>
      </c>
      <c r="H865">
        <v>49</v>
      </c>
      <c r="I865">
        <f t="shared" si="13"/>
        <v>1</v>
      </c>
    </row>
    <row r="866" spans="1:9" x14ac:dyDescent="0.3">
      <c r="A866">
        <v>2</v>
      </c>
      <c r="B866">
        <v>11</v>
      </c>
      <c r="C866" s="4">
        <v>38</v>
      </c>
      <c r="D866" t="s">
        <v>10</v>
      </c>
      <c r="E866" t="s">
        <v>14</v>
      </c>
      <c r="F866">
        <v>2022</v>
      </c>
      <c r="G866" s="4">
        <v>54.285714285714278</v>
      </c>
      <c r="H866">
        <v>49</v>
      </c>
      <c r="I866">
        <f t="shared" si="13"/>
        <v>0</v>
      </c>
    </row>
    <row r="867" spans="1:9" x14ac:dyDescent="0.3">
      <c r="A867">
        <v>3</v>
      </c>
      <c r="B867">
        <v>11</v>
      </c>
      <c r="C867" s="4">
        <v>38</v>
      </c>
      <c r="D867" t="s">
        <v>10</v>
      </c>
      <c r="E867" t="s">
        <v>14</v>
      </c>
      <c r="F867">
        <v>2022</v>
      </c>
      <c r="G867" s="4">
        <v>54.285714285714278</v>
      </c>
      <c r="H867">
        <v>49</v>
      </c>
      <c r="I867">
        <f t="shared" si="13"/>
        <v>0</v>
      </c>
    </row>
    <row r="868" spans="1:9" x14ac:dyDescent="0.3">
      <c r="A868">
        <v>4</v>
      </c>
      <c r="B868">
        <v>11</v>
      </c>
      <c r="C868" s="4">
        <v>38</v>
      </c>
      <c r="D868" t="s">
        <v>10</v>
      </c>
      <c r="E868" t="s">
        <v>14</v>
      </c>
      <c r="F868">
        <v>2022</v>
      </c>
      <c r="G868" s="4">
        <v>54.285714285714278</v>
      </c>
      <c r="H868">
        <v>49</v>
      </c>
      <c r="I868">
        <f t="shared" si="13"/>
        <v>0</v>
      </c>
    </row>
    <row r="869" spans="1:9" x14ac:dyDescent="0.3">
      <c r="A869">
        <v>5</v>
      </c>
      <c r="B869">
        <v>11</v>
      </c>
      <c r="C869" s="4">
        <v>34</v>
      </c>
      <c r="D869" t="s">
        <v>11</v>
      </c>
      <c r="E869" t="s">
        <v>14</v>
      </c>
      <c r="F869">
        <v>2022</v>
      </c>
      <c r="G869" s="4">
        <v>48.571428571428569</v>
      </c>
      <c r="H869">
        <v>49</v>
      </c>
      <c r="I869">
        <f t="shared" si="13"/>
        <v>0</v>
      </c>
    </row>
    <row r="870" spans="1:9" x14ac:dyDescent="0.3">
      <c r="A870">
        <v>6</v>
      </c>
      <c r="B870">
        <v>11</v>
      </c>
      <c r="C870" s="4">
        <v>33</v>
      </c>
      <c r="D870" t="s">
        <v>11</v>
      </c>
      <c r="E870" t="s">
        <v>14</v>
      </c>
      <c r="F870">
        <v>2022</v>
      </c>
      <c r="G870" s="4">
        <v>47.142857142857139</v>
      </c>
      <c r="H870">
        <v>49</v>
      </c>
      <c r="I870">
        <f t="shared" si="13"/>
        <v>0</v>
      </c>
    </row>
    <row r="871" spans="1:9" x14ac:dyDescent="0.3">
      <c r="A871">
        <v>7</v>
      </c>
      <c r="B871">
        <v>11</v>
      </c>
      <c r="C871" s="4">
        <v>32</v>
      </c>
      <c r="D871" t="s">
        <v>11</v>
      </c>
      <c r="E871" t="s">
        <v>14</v>
      </c>
      <c r="F871">
        <v>2022</v>
      </c>
      <c r="G871" s="4">
        <v>45.714285714285722</v>
      </c>
      <c r="H871">
        <v>49</v>
      </c>
      <c r="I871">
        <f t="shared" si="13"/>
        <v>0</v>
      </c>
    </row>
    <row r="872" spans="1:9" x14ac:dyDescent="0.3">
      <c r="A872">
        <v>8</v>
      </c>
      <c r="B872">
        <v>11</v>
      </c>
      <c r="C872" s="4">
        <v>32</v>
      </c>
      <c r="D872" t="s">
        <v>11</v>
      </c>
      <c r="E872" t="s">
        <v>14</v>
      </c>
      <c r="F872">
        <v>2022</v>
      </c>
      <c r="G872" s="4">
        <v>45.714285714285722</v>
      </c>
      <c r="H872">
        <v>49</v>
      </c>
      <c r="I872">
        <f t="shared" si="13"/>
        <v>0</v>
      </c>
    </row>
    <row r="873" spans="1:9" x14ac:dyDescent="0.3">
      <c r="A873">
        <v>9</v>
      </c>
      <c r="B873">
        <v>11</v>
      </c>
      <c r="C873" s="4">
        <v>32</v>
      </c>
      <c r="D873" t="s">
        <v>11</v>
      </c>
      <c r="E873" t="s">
        <v>14</v>
      </c>
      <c r="F873">
        <v>2022</v>
      </c>
      <c r="G873" s="4">
        <v>45.714285714285722</v>
      </c>
      <c r="H873">
        <v>49</v>
      </c>
      <c r="I873">
        <f t="shared" si="13"/>
        <v>0</v>
      </c>
    </row>
    <row r="874" spans="1:9" x14ac:dyDescent="0.3">
      <c r="A874">
        <v>10</v>
      </c>
      <c r="B874">
        <v>11</v>
      </c>
      <c r="C874" s="4">
        <v>31</v>
      </c>
      <c r="D874" t="s">
        <v>11</v>
      </c>
      <c r="E874" t="s">
        <v>14</v>
      </c>
      <c r="F874">
        <v>2022</v>
      </c>
      <c r="G874" s="4">
        <v>44.285714285714278</v>
      </c>
      <c r="H874">
        <v>49</v>
      </c>
      <c r="I874">
        <f t="shared" si="13"/>
        <v>0</v>
      </c>
    </row>
    <row r="875" spans="1:9" x14ac:dyDescent="0.3">
      <c r="A875">
        <v>11</v>
      </c>
      <c r="B875">
        <v>11</v>
      </c>
      <c r="C875" s="4">
        <v>29</v>
      </c>
      <c r="D875" t="s">
        <v>11</v>
      </c>
      <c r="E875" t="s">
        <v>14</v>
      </c>
      <c r="F875">
        <v>2022</v>
      </c>
      <c r="G875" s="4">
        <v>41.428571428571431</v>
      </c>
      <c r="H875">
        <v>49</v>
      </c>
      <c r="I875">
        <f t="shared" si="13"/>
        <v>0</v>
      </c>
    </row>
    <row r="876" spans="1:9" x14ac:dyDescent="0.3">
      <c r="A876">
        <v>12</v>
      </c>
      <c r="B876">
        <v>11</v>
      </c>
      <c r="C876" s="4">
        <v>29</v>
      </c>
      <c r="D876" t="s">
        <v>11</v>
      </c>
      <c r="E876" t="s">
        <v>14</v>
      </c>
      <c r="F876">
        <v>2022</v>
      </c>
      <c r="G876" s="4">
        <v>41.428571428571431</v>
      </c>
      <c r="H876">
        <v>49</v>
      </c>
      <c r="I876">
        <f t="shared" si="13"/>
        <v>0</v>
      </c>
    </row>
    <row r="877" spans="1:9" x14ac:dyDescent="0.3">
      <c r="A877">
        <v>13</v>
      </c>
      <c r="B877">
        <v>11</v>
      </c>
      <c r="C877" s="4">
        <v>28</v>
      </c>
      <c r="D877" t="s">
        <v>11</v>
      </c>
      <c r="E877" t="s">
        <v>14</v>
      </c>
      <c r="F877">
        <v>2022</v>
      </c>
      <c r="G877" s="4">
        <v>40</v>
      </c>
      <c r="H877">
        <v>49</v>
      </c>
      <c r="I877">
        <f t="shared" si="13"/>
        <v>0</v>
      </c>
    </row>
    <row r="878" spans="1:9" x14ac:dyDescent="0.3">
      <c r="A878">
        <v>14</v>
      </c>
      <c r="B878">
        <v>11</v>
      </c>
      <c r="C878" s="4">
        <v>27</v>
      </c>
      <c r="D878" t="s">
        <v>11</v>
      </c>
      <c r="E878" t="s">
        <v>14</v>
      </c>
      <c r="F878">
        <v>2022</v>
      </c>
      <c r="G878" s="4">
        <v>38.571428571428577</v>
      </c>
      <c r="H878">
        <v>49</v>
      </c>
      <c r="I878">
        <f t="shared" si="13"/>
        <v>0</v>
      </c>
    </row>
    <row r="879" spans="1:9" x14ac:dyDescent="0.3">
      <c r="A879">
        <v>15</v>
      </c>
      <c r="B879">
        <v>11</v>
      </c>
      <c r="C879" s="4">
        <v>23</v>
      </c>
      <c r="D879" t="s">
        <v>11</v>
      </c>
      <c r="E879" t="s">
        <v>14</v>
      </c>
      <c r="F879">
        <v>2022</v>
      </c>
      <c r="G879" s="4">
        <v>32.857142857142847</v>
      </c>
      <c r="H879">
        <v>49</v>
      </c>
      <c r="I879">
        <f t="shared" si="13"/>
        <v>0</v>
      </c>
    </row>
    <row r="880" spans="1:9" x14ac:dyDescent="0.3">
      <c r="A880">
        <v>16</v>
      </c>
      <c r="B880">
        <v>11</v>
      </c>
      <c r="C880" s="4">
        <v>23</v>
      </c>
      <c r="D880" t="s">
        <v>11</v>
      </c>
      <c r="E880" t="s">
        <v>14</v>
      </c>
      <c r="F880">
        <v>2022</v>
      </c>
      <c r="G880" s="4">
        <v>32.857142857142847</v>
      </c>
      <c r="H880">
        <v>49</v>
      </c>
      <c r="I880">
        <f t="shared" si="13"/>
        <v>0</v>
      </c>
    </row>
    <row r="881" spans="1:9" x14ac:dyDescent="0.3">
      <c r="A881">
        <v>17</v>
      </c>
      <c r="B881">
        <v>11</v>
      </c>
      <c r="C881" s="4">
        <v>23</v>
      </c>
      <c r="D881" t="s">
        <v>11</v>
      </c>
      <c r="E881" t="s">
        <v>14</v>
      </c>
      <c r="F881">
        <v>2022</v>
      </c>
      <c r="G881" s="4">
        <v>32.857142857142847</v>
      </c>
      <c r="H881">
        <v>49</v>
      </c>
      <c r="I881">
        <f t="shared" si="13"/>
        <v>0</v>
      </c>
    </row>
    <row r="882" spans="1:9" x14ac:dyDescent="0.3">
      <c r="A882">
        <v>18</v>
      </c>
      <c r="B882">
        <v>11</v>
      </c>
      <c r="C882" s="4">
        <v>20</v>
      </c>
      <c r="D882" t="s">
        <v>11</v>
      </c>
      <c r="E882" t="s">
        <v>14</v>
      </c>
      <c r="F882">
        <v>2022</v>
      </c>
      <c r="G882" s="4">
        <v>28.571428571428569</v>
      </c>
      <c r="H882">
        <v>49</v>
      </c>
      <c r="I882">
        <f t="shared" si="13"/>
        <v>0</v>
      </c>
    </row>
    <row r="883" spans="1:9" x14ac:dyDescent="0.3">
      <c r="A883">
        <v>19</v>
      </c>
      <c r="B883">
        <v>11</v>
      </c>
      <c r="C883" s="4">
        <v>20</v>
      </c>
      <c r="D883" t="s">
        <v>11</v>
      </c>
      <c r="E883" t="s">
        <v>14</v>
      </c>
      <c r="F883">
        <v>2022</v>
      </c>
      <c r="G883" s="4">
        <v>28.571428571428569</v>
      </c>
      <c r="H883">
        <v>49</v>
      </c>
      <c r="I883">
        <f t="shared" si="13"/>
        <v>0</v>
      </c>
    </row>
    <row r="884" spans="1:9" x14ac:dyDescent="0.3">
      <c r="A884">
        <v>20</v>
      </c>
      <c r="B884">
        <v>11</v>
      </c>
      <c r="C884" s="4">
        <v>18</v>
      </c>
      <c r="D884" t="s">
        <v>11</v>
      </c>
      <c r="E884" t="s">
        <v>14</v>
      </c>
      <c r="F884">
        <v>2022</v>
      </c>
      <c r="G884" s="4">
        <v>25.714285714285712</v>
      </c>
      <c r="H884">
        <v>49</v>
      </c>
      <c r="I884">
        <f t="shared" si="13"/>
        <v>0</v>
      </c>
    </row>
    <row r="885" spans="1:9" x14ac:dyDescent="0.3">
      <c r="A885">
        <v>21</v>
      </c>
      <c r="B885">
        <v>11</v>
      </c>
      <c r="C885" s="4">
        <v>15</v>
      </c>
      <c r="D885" t="s">
        <v>11</v>
      </c>
      <c r="E885" t="s">
        <v>14</v>
      </c>
      <c r="F885">
        <v>2022</v>
      </c>
      <c r="G885" s="4">
        <v>21.428571428571431</v>
      </c>
      <c r="H885">
        <v>49</v>
      </c>
      <c r="I885">
        <f t="shared" si="13"/>
        <v>0</v>
      </c>
    </row>
    <row r="886" spans="1:9" x14ac:dyDescent="0.3">
      <c r="A886">
        <v>22</v>
      </c>
      <c r="B886">
        <v>11</v>
      </c>
      <c r="C886" s="4">
        <v>10</v>
      </c>
      <c r="D886" t="s">
        <v>11</v>
      </c>
      <c r="E886" t="s">
        <v>14</v>
      </c>
      <c r="F886">
        <v>2022</v>
      </c>
      <c r="G886" s="4">
        <v>14.285714285714279</v>
      </c>
      <c r="H886">
        <v>49</v>
      </c>
      <c r="I886">
        <f t="shared" si="13"/>
        <v>0</v>
      </c>
    </row>
    <row r="887" spans="1:9" x14ac:dyDescent="0.3">
      <c r="A887">
        <v>23</v>
      </c>
      <c r="B887">
        <v>11</v>
      </c>
      <c r="C887" s="4">
        <v>10</v>
      </c>
      <c r="D887" t="s">
        <v>11</v>
      </c>
      <c r="E887" t="s">
        <v>14</v>
      </c>
      <c r="F887">
        <v>2022</v>
      </c>
      <c r="G887" s="4">
        <v>14.285714285714279</v>
      </c>
      <c r="H887">
        <v>49</v>
      </c>
      <c r="I887">
        <f t="shared" si="13"/>
        <v>0</v>
      </c>
    </row>
    <row r="888" spans="1:9" x14ac:dyDescent="0.3">
      <c r="A888">
        <v>24</v>
      </c>
      <c r="B888">
        <v>11</v>
      </c>
      <c r="C888" s="4">
        <v>9</v>
      </c>
      <c r="D888" t="s">
        <v>11</v>
      </c>
      <c r="E888" t="s">
        <v>14</v>
      </c>
      <c r="F888">
        <v>2022</v>
      </c>
      <c r="G888" s="4">
        <v>12.857142857142859</v>
      </c>
      <c r="H888">
        <v>49</v>
      </c>
      <c r="I888">
        <f t="shared" si="13"/>
        <v>0</v>
      </c>
    </row>
    <row r="889" spans="1:9" x14ac:dyDescent="0.3">
      <c r="A889">
        <v>25</v>
      </c>
      <c r="B889">
        <v>11</v>
      </c>
      <c r="C889" s="4">
        <v>7</v>
      </c>
      <c r="D889" t="s">
        <v>11</v>
      </c>
      <c r="E889" t="s">
        <v>14</v>
      </c>
      <c r="F889">
        <v>2022</v>
      </c>
      <c r="G889" s="4">
        <v>10</v>
      </c>
      <c r="H889">
        <v>49</v>
      </c>
      <c r="I889">
        <f t="shared" si="13"/>
        <v>0</v>
      </c>
    </row>
    <row r="890" spans="1:9" x14ac:dyDescent="0.3">
      <c r="A890">
        <v>26</v>
      </c>
      <c r="B890">
        <v>11</v>
      </c>
      <c r="C890" s="4">
        <v>1</v>
      </c>
      <c r="D890" t="s">
        <v>11</v>
      </c>
      <c r="E890" t="s">
        <v>14</v>
      </c>
      <c r="F890">
        <v>2022</v>
      </c>
      <c r="G890" s="4">
        <v>1.428571428571429</v>
      </c>
      <c r="H890">
        <v>49</v>
      </c>
      <c r="I890">
        <f t="shared" si="13"/>
        <v>0</v>
      </c>
    </row>
    <row r="891" spans="1:9" x14ac:dyDescent="0.3">
      <c r="A891">
        <v>1</v>
      </c>
      <c r="B891">
        <v>9</v>
      </c>
      <c r="C891" s="4">
        <v>37</v>
      </c>
      <c r="D891" t="s">
        <v>8</v>
      </c>
      <c r="E891" t="s">
        <v>14</v>
      </c>
      <c r="F891">
        <v>2023</v>
      </c>
      <c r="G891" s="4">
        <v>52.857142857142861</v>
      </c>
      <c r="H891">
        <v>42</v>
      </c>
      <c r="I891">
        <f t="shared" si="13"/>
        <v>0</v>
      </c>
    </row>
    <row r="892" spans="1:9" x14ac:dyDescent="0.3">
      <c r="A892">
        <v>2</v>
      </c>
      <c r="B892">
        <v>9</v>
      </c>
      <c r="C892" s="4">
        <v>35</v>
      </c>
      <c r="D892" t="s">
        <v>8</v>
      </c>
      <c r="E892" t="s">
        <v>14</v>
      </c>
      <c r="F892">
        <v>2023</v>
      </c>
      <c r="G892" s="4">
        <v>50</v>
      </c>
      <c r="H892">
        <v>42</v>
      </c>
      <c r="I892">
        <f t="shared" si="13"/>
        <v>0</v>
      </c>
    </row>
    <row r="893" spans="1:9" x14ac:dyDescent="0.3">
      <c r="A893">
        <v>3</v>
      </c>
      <c r="B893">
        <v>9</v>
      </c>
      <c r="C893" s="4">
        <v>28</v>
      </c>
      <c r="D893" t="s">
        <v>10</v>
      </c>
      <c r="E893" t="s">
        <v>14</v>
      </c>
      <c r="F893">
        <v>2023</v>
      </c>
      <c r="G893" s="4">
        <v>40</v>
      </c>
      <c r="H893">
        <v>42</v>
      </c>
      <c r="I893">
        <f t="shared" si="13"/>
        <v>0</v>
      </c>
    </row>
    <row r="894" spans="1:9" x14ac:dyDescent="0.3">
      <c r="A894">
        <v>4</v>
      </c>
      <c r="B894">
        <v>9</v>
      </c>
      <c r="C894" s="4">
        <v>28</v>
      </c>
      <c r="D894" t="s">
        <v>10</v>
      </c>
      <c r="E894" t="s">
        <v>14</v>
      </c>
      <c r="F894">
        <v>2023</v>
      </c>
      <c r="G894" s="4">
        <v>40</v>
      </c>
      <c r="H894">
        <v>42</v>
      </c>
      <c r="I894">
        <f t="shared" si="13"/>
        <v>0</v>
      </c>
    </row>
    <row r="895" spans="1:9" x14ac:dyDescent="0.3">
      <c r="A895">
        <v>5</v>
      </c>
      <c r="B895">
        <v>9</v>
      </c>
      <c r="C895" s="4">
        <v>26</v>
      </c>
      <c r="D895" t="s">
        <v>10</v>
      </c>
      <c r="E895" t="s">
        <v>14</v>
      </c>
      <c r="F895">
        <v>2023</v>
      </c>
      <c r="G895" s="4">
        <v>37.142857142857153</v>
      </c>
      <c r="H895">
        <v>42</v>
      </c>
      <c r="I895">
        <f t="shared" si="13"/>
        <v>0</v>
      </c>
    </row>
    <row r="896" spans="1:9" x14ac:dyDescent="0.3">
      <c r="A896">
        <v>6</v>
      </c>
      <c r="B896">
        <v>9</v>
      </c>
      <c r="C896" s="4">
        <v>24</v>
      </c>
      <c r="D896" t="s">
        <v>10</v>
      </c>
      <c r="E896" t="s">
        <v>14</v>
      </c>
      <c r="F896">
        <v>2023</v>
      </c>
      <c r="G896" s="4">
        <v>34.285714285714278</v>
      </c>
      <c r="H896">
        <v>42</v>
      </c>
      <c r="I896">
        <f t="shared" si="13"/>
        <v>0</v>
      </c>
    </row>
    <row r="897" spans="1:9" x14ac:dyDescent="0.3">
      <c r="A897">
        <v>7</v>
      </c>
      <c r="B897">
        <v>9</v>
      </c>
      <c r="C897" s="4">
        <v>24</v>
      </c>
      <c r="D897" t="s">
        <v>10</v>
      </c>
      <c r="E897" t="s">
        <v>14</v>
      </c>
      <c r="F897">
        <v>2023</v>
      </c>
      <c r="G897" s="4">
        <v>34.285714285714278</v>
      </c>
      <c r="H897">
        <v>42</v>
      </c>
      <c r="I897">
        <f t="shared" si="13"/>
        <v>0</v>
      </c>
    </row>
    <row r="898" spans="1:9" x14ac:dyDescent="0.3">
      <c r="A898">
        <v>8</v>
      </c>
      <c r="B898">
        <v>9</v>
      </c>
      <c r="C898" s="4">
        <v>19</v>
      </c>
      <c r="D898" t="s">
        <v>11</v>
      </c>
      <c r="E898" t="s">
        <v>14</v>
      </c>
      <c r="F898">
        <v>2023</v>
      </c>
      <c r="G898" s="4">
        <v>27.142857142857139</v>
      </c>
      <c r="H898">
        <v>42</v>
      </c>
      <c r="I898">
        <f t="shared" si="13"/>
        <v>0</v>
      </c>
    </row>
    <row r="899" spans="1:9" x14ac:dyDescent="0.3">
      <c r="A899">
        <v>9</v>
      </c>
      <c r="B899">
        <v>9</v>
      </c>
      <c r="C899" s="4">
        <v>17</v>
      </c>
      <c r="D899" t="s">
        <v>11</v>
      </c>
      <c r="E899" t="s">
        <v>14</v>
      </c>
      <c r="F899">
        <v>2023</v>
      </c>
      <c r="G899" s="4">
        <v>24.285714285714281</v>
      </c>
      <c r="H899">
        <v>42</v>
      </c>
      <c r="I899">
        <f t="shared" ref="I899:I962" si="14">IF(C899&gt;=H899,1,0)</f>
        <v>0</v>
      </c>
    </row>
    <row r="900" spans="1:9" x14ac:dyDescent="0.3">
      <c r="A900">
        <v>10</v>
      </c>
      <c r="B900">
        <v>9</v>
      </c>
      <c r="C900" s="4">
        <v>10</v>
      </c>
      <c r="D900" t="s">
        <v>11</v>
      </c>
      <c r="E900" t="s">
        <v>14</v>
      </c>
      <c r="F900">
        <v>2023</v>
      </c>
      <c r="G900" s="4">
        <v>14.285714285714279</v>
      </c>
      <c r="H900">
        <v>42</v>
      </c>
      <c r="I900">
        <f t="shared" si="14"/>
        <v>0</v>
      </c>
    </row>
    <row r="901" spans="1:9" x14ac:dyDescent="0.3">
      <c r="A901">
        <v>11</v>
      </c>
      <c r="B901">
        <v>9</v>
      </c>
      <c r="C901" s="4">
        <v>10</v>
      </c>
      <c r="D901" t="s">
        <v>11</v>
      </c>
      <c r="E901" t="s">
        <v>14</v>
      </c>
      <c r="F901">
        <v>2023</v>
      </c>
      <c r="G901" s="4">
        <v>14.285714285714279</v>
      </c>
      <c r="H901">
        <v>42</v>
      </c>
      <c r="I901">
        <f t="shared" si="14"/>
        <v>0</v>
      </c>
    </row>
    <row r="902" spans="1:9" x14ac:dyDescent="0.3">
      <c r="A902">
        <v>12</v>
      </c>
      <c r="B902">
        <v>9</v>
      </c>
      <c r="C902" s="4">
        <v>10</v>
      </c>
      <c r="D902" t="s">
        <v>11</v>
      </c>
      <c r="E902" t="s">
        <v>14</v>
      </c>
      <c r="F902">
        <v>2023</v>
      </c>
      <c r="G902" s="4">
        <v>14.285714285714279</v>
      </c>
      <c r="H902">
        <v>42</v>
      </c>
      <c r="I902">
        <f t="shared" si="14"/>
        <v>0</v>
      </c>
    </row>
    <row r="903" spans="1:9" x14ac:dyDescent="0.3">
      <c r="A903">
        <v>13</v>
      </c>
      <c r="B903">
        <v>9</v>
      </c>
      <c r="C903" s="4">
        <v>10</v>
      </c>
      <c r="D903" t="s">
        <v>11</v>
      </c>
      <c r="E903" t="s">
        <v>14</v>
      </c>
      <c r="F903">
        <v>2023</v>
      </c>
      <c r="G903" s="4">
        <v>14.285714285714279</v>
      </c>
      <c r="H903">
        <v>42</v>
      </c>
      <c r="I903">
        <f t="shared" si="14"/>
        <v>0</v>
      </c>
    </row>
    <row r="904" spans="1:9" x14ac:dyDescent="0.3">
      <c r="A904">
        <v>14</v>
      </c>
      <c r="B904">
        <v>9</v>
      </c>
      <c r="C904" s="4">
        <v>9</v>
      </c>
      <c r="D904" t="s">
        <v>11</v>
      </c>
      <c r="E904" t="s">
        <v>14</v>
      </c>
      <c r="F904">
        <v>2023</v>
      </c>
      <c r="G904" s="4">
        <v>12.857142857142859</v>
      </c>
      <c r="H904">
        <v>42</v>
      </c>
      <c r="I904">
        <f t="shared" si="14"/>
        <v>0</v>
      </c>
    </row>
    <row r="905" spans="1:9" x14ac:dyDescent="0.3">
      <c r="A905">
        <v>15</v>
      </c>
      <c r="B905">
        <v>9</v>
      </c>
      <c r="C905" s="4">
        <v>8</v>
      </c>
      <c r="D905" t="s">
        <v>11</v>
      </c>
      <c r="E905" t="s">
        <v>14</v>
      </c>
      <c r="F905">
        <v>2023</v>
      </c>
      <c r="G905" s="4">
        <v>11.428571428571431</v>
      </c>
      <c r="H905">
        <v>42</v>
      </c>
      <c r="I905">
        <f t="shared" si="14"/>
        <v>0</v>
      </c>
    </row>
    <row r="906" spans="1:9" x14ac:dyDescent="0.3">
      <c r="A906">
        <v>16</v>
      </c>
      <c r="B906">
        <v>9</v>
      </c>
      <c r="C906" s="4">
        <v>7</v>
      </c>
      <c r="D906" t="s">
        <v>11</v>
      </c>
      <c r="E906" t="s">
        <v>14</v>
      </c>
      <c r="F906">
        <v>2023</v>
      </c>
      <c r="G906" s="4">
        <v>10</v>
      </c>
      <c r="H906">
        <v>42</v>
      </c>
      <c r="I906">
        <f t="shared" si="14"/>
        <v>0</v>
      </c>
    </row>
    <row r="907" spans="1:9" x14ac:dyDescent="0.3">
      <c r="A907">
        <v>17</v>
      </c>
      <c r="B907">
        <v>9</v>
      </c>
      <c r="C907" s="4">
        <v>7</v>
      </c>
      <c r="D907" t="s">
        <v>11</v>
      </c>
      <c r="E907" t="s">
        <v>14</v>
      </c>
      <c r="F907">
        <v>2023</v>
      </c>
      <c r="G907" s="4">
        <v>10</v>
      </c>
      <c r="H907">
        <v>42</v>
      </c>
      <c r="I907">
        <f t="shared" si="14"/>
        <v>0</v>
      </c>
    </row>
    <row r="908" spans="1:9" x14ac:dyDescent="0.3">
      <c r="A908">
        <v>18</v>
      </c>
      <c r="B908">
        <v>9</v>
      </c>
      <c r="C908" s="4">
        <v>5</v>
      </c>
      <c r="D908" t="s">
        <v>11</v>
      </c>
      <c r="E908" t="s">
        <v>14</v>
      </c>
      <c r="F908">
        <v>2023</v>
      </c>
      <c r="G908" s="4">
        <v>7.1428571428571423</v>
      </c>
      <c r="H908">
        <v>42</v>
      </c>
      <c r="I908">
        <f t="shared" si="14"/>
        <v>0</v>
      </c>
    </row>
    <row r="909" spans="1:9" x14ac:dyDescent="0.3">
      <c r="A909">
        <v>19</v>
      </c>
      <c r="B909">
        <v>9</v>
      </c>
      <c r="C909" s="4">
        <v>3</v>
      </c>
      <c r="D909" t="s">
        <v>11</v>
      </c>
      <c r="E909" t="s">
        <v>14</v>
      </c>
      <c r="F909">
        <v>2023</v>
      </c>
      <c r="G909" s="4">
        <v>4.2857142857142856</v>
      </c>
      <c r="H909">
        <v>42</v>
      </c>
      <c r="I909">
        <f t="shared" si="14"/>
        <v>0</v>
      </c>
    </row>
    <row r="910" spans="1:9" x14ac:dyDescent="0.3">
      <c r="A910">
        <v>20</v>
      </c>
      <c r="B910">
        <v>9</v>
      </c>
      <c r="C910" s="4">
        <v>3</v>
      </c>
      <c r="D910" t="s">
        <v>11</v>
      </c>
      <c r="E910" t="s">
        <v>14</v>
      </c>
      <c r="F910">
        <v>2023</v>
      </c>
      <c r="G910" s="4">
        <v>4.2857142857142856</v>
      </c>
      <c r="H910">
        <v>42</v>
      </c>
      <c r="I910">
        <f t="shared" si="14"/>
        <v>0</v>
      </c>
    </row>
    <row r="911" spans="1:9" x14ac:dyDescent="0.3">
      <c r="A911">
        <v>21</v>
      </c>
      <c r="B911">
        <v>9</v>
      </c>
      <c r="C911" s="4">
        <v>2</v>
      </c>
      <c r="D911" t="s">
        <v>11</v>
      </c>
      <c r="E911" t="s">
        <v>14</v>
      </c>
      <c r="F911">
        <v>2023</v>
      </c>
      <c r="G911" s="4">
        <v>2.8571428571428572</v>
      </c>
      <c r="H911">
        <v>42</v>
      </c>
      <c r="I911">
        <f t="shared" si="14"/>
        <v>0</v>
      </c>
    </row>
    <row r="912" spans="1:9" x14ac:dyDescent="0.3">
      <c r="A912">
        <v>22</v>
      </c>
      <c r="B912">
        <v>9</v>
      </c>
      <c r="C912" s="4">
        <v>2</v>
      </c>
      <c r="D912" t="s">
        <v>11</v>
      </c>
      <c r="E912" t="s">
        <v>14</v>
      </c>
      <c r="F912">
        <v>2023</v>
      </c>
      <c r="G912" s="4">
        <v>2.8571428571428572</v>
      </c>
      <c r="H912">
        <v>42</v>
      </c>
      <c r="I912">
        <f t="shared" si="14"/>
        <v>0</v>
      </c>
    </row>
    <row r="913" spans="1:9" x14ac:dyDescent="0.3">
      <c r="A913">
        <v>23</v>
      </c>
      <c r="B913">
        <v>9</v>
      </c>
      <c r="C913" s="4">
        <v>2</v>
      </c>
      <c r="D913" t="s">
        <v>11</v>
      </c>
      <c r="E913" t="s">
        <v>14</v>
      </c>
      <c r="F913">
        <v>2023</v>
      </c>
      <c r="G913" s="4">
        <v>2.8571428571428572</v>
      </c>
      <c r="H913">
        <v>42</v>
      </c>
      <c r="I913">
        <f t="shared" si="14"/>
        <v>0</v>
      </c>
    </row>
    <row r="914" spans="1:9" x14ac:dyDescent="0.3">
      <c r="A914">
        <v>24</v>
      </c>
      <c r="B914">
        <v>9</v>
      </c>
      <c r="C914" s="4">
        <v>2</v>
      </c>
      <c r="D914" t="s">
        <v>11</v>
      </c>
      <c r="E914" t="s">
        <v>14</v>
      </c>
      <c r="F914">
        <v>2023</v>
      </c>
      <c r="G914" s="4">
        <v>2.8571428571428572</v>
      </c>
      <c r="H914">
        <v>42</v>
      </c>
      <c r="I914">
        <f t="shared" si="14"/>
        <v>0</v>
      </c>
    </row>
    <row r="915" spans="1:9" x14ac:dyDescent="0.3">
      <c r="A915">
        <v>25</v>
      </c>
      <c r="B915">
        <v>9</v>
      </c>
      <c r="C915" s="4">
        <v>2</v>
      </c>
      <c r="D915" t="s">
        <v>11</v>
      </c>
      <c r="E915" t="s">
        <v>14</v>
      </c>
      <c r="F915">
        <v>2023</v>
      </c>
      <c r="G915" s="4">
        <v>2.8571428571428572</v>
      </c>
      <c r="H915">
        <v>42</v>
      </c>
      <c r="I915">
        <f t="shared" si="14"/>
        <v>0</v>
      </c>
    </row>
    <row r="916" spans="1:9" x14ac:dyDescent="0.3">
      <c r="A916">
        <v>26</v>
      </c>
      <c r="B916">
        <v>9</v>
      </c>
      <c r="C916" s="4">
        <v>2</v>
      </c>
      <c r="D916" t="s">
        <v>11</v>
      </c>
      <c r="E916" t="s">
        <v>14</v>
      </c>
      <c r="F916">
        <v>2023</v>
      </c>
      <c r="G916" s="4">
        <v>2.8571428571428572</v>
      </c>
      <c r="H916">
        <v>42</v>
      </c>
      <c r="I916">
        <f t="shared" si="14"/>
        <v>0</v>
      </c>
    </row>
    <row r="917" spans="1:9" x14ac:dyDescent="0.3">
      <c r="A917">
        <v>27</v>
      </c>
      <c r="B917">
        <v>9</v>
      </c>
      <c r="C917" s="4">
        <v>1</v>
      </c>
      <c r="D917" t="s">
        <v>11</v>
      </c>
      <c r="E917" t="s">
        <v>14</v>
      </c>
      <c r="F917">
        <v>2023</v>
      </c>
      <c r="G917" s="4">
        <v>1.428571428571429</v>
      </c>
      <c r="H917">
        <v>42</v>
      </c>
      <c r="I917">
        <f t="shared" si="14"/>
        <v>0</v>
      </c>
    </row>
    <row r="918" spans="1:9" x14ac:dyDescent="0.3">
      <c r="A918">
        <v>28</v>
      </c>
      <c r="B918">
        <v>9</v>
      </c>
      <c r="C918" s="4">
        <v>1</v>
      </c>
      <c r="D918" t="s">
        <v>11</v>
      </c>
      <c r="E918" t="s">
        <v>14</v>
      </c>
      <c r="F918">
        <v>2023</v>
      </c>
      <c r="G918" s="4">
        <v>1.428571428571429</v>
      </c>
      <c r="H918">
        <v>42</v>
      </c>
      <c r="I918">
        <f t="shared" si="14"/>
        <v>0</v>
      </c>
    </row>
    <row r="919" spans="1:9" x14ac:dyDescent="0.3">
      <c r="A919">
        <v>29</v>
      </c>
      <c r="B919">
        <v>9</v>
      </c>
      <c r="C919" s="4">
        <v>1</v>
      </c>
      <c r="D919" t="s">
        <v>11</v>
      </c>
      <c r="E919" t="s">
        <v>14</v>
      </c>
      <c r="F919">
        <v>2023</v>
      </c>
      <c r="G919" s="4">
        <v>1.428571428571429</v>
      </c>
      <c r="H919">
        <v>42</v>
      </c>
      <c r="I919">
        <f t="shared" si="14"/>
        <v>0</v>
      </c>
    </row>
    <row r="920" spans="1:9" x14ac:dyDescent="0.3">
      <c r="A920">
        <v>30</v>
      </c>
      <c r="B920">
        <v>9</v>
      </c>
      <c r="C920" s="4">
        <v>1</v>
      </c>
      <c r="D920" t="s">
        <v>11</v>
      </c>
      <c r="E920" t="s">
        <v>14</v>
      </c>
      <c r="F920">
        <v>2023</v>
      </c>
      <c r="G920" s="4">
        <v>1.428571428571429</v>
      </c>
      <c r="H920">
        <v>42</v>
      </c>
      <c r="I920">
        <f t="shared" si="14"/>
        <v>0</v>
      </c>
    </row>
    <row r="921" spans="1:9" x14ac:dyDescent="0.3">
      <c r="A921">
        <v>31</v>
      </c>
      <c r="B921">
        <v>9</v>
      </c>
      <c r="C921" s="4">
        <v>1</v>
      </c>
      <c r="D921" t="s">
        <v>11</v>
      </c>
      <c r="E921" t="s">
        <v>14</v>
      </c>
      <c r="F921">
        <v>2023</v>
      </c>
      <c r="G921" s="4">
        <v>1.428571428571429</v>
      </c>
      <c r="H921">
        <v>42</v>
      </c>
      <c r="I921">
        <f t="shared" si="14"/>
        <v>0</v>
      </c>
    </row>
    <row r="922" spans="1:9" x14ac:dyDescent="0.3">
      <c r="A922">
        <v>32</v>
      </c>
      <c r="B922">
        <v>9</v>
      </c>
      <c r="C922" s="4">
        <v>1</v>
      </c>
      <c r="D922" t="s">
        <v>11</v>
      </c>
      <c r="E922" t="s">
        <v>14</v>
      </c>
      <c r="F922">
        <v>2023</v>
      </c>
      <c r="G922" s="4">
        <v>1.428571428571429</v>
      </c>
      <c r="H922">
        <v>42</v>
      </c>
      <c r="I922">
        <f t="shared" si="14"/>
        <v>0</v>
      </c>
    </row>
    <row r="923" spans="1:9" x14ac:dyDescent="0.3">
      <c r="A923">
        <v>33</v>
      </c>
      <c r="B923">
        <v>9</v>
      </c>
      <c r="C923" s="4">
        <v>0</v>
      </c>
      <c r="D923" t="s">
        <v>11</v>
      </c>
      <c r="E923" t="s">
        <v>14</v>
      </c>
      <c r="F923">
        <v>2023</v>
      </c>
      <c r="G923" s="4">
        <v>0</v>
      </c>
      <c r="H923">
        <v>42</v>
      </c>
      <c r="I923">
        <f t="shared" si="14"/>
        <v>0</v>
      </c>
    </row>
    <row r="924" spans="1:9" x14ac:dyDescent="0.3">
      <c r="A924">
        <v>34</v>
      </c>
      <c r="B924">
        <v>9</v>
      </c>
      <c r="C924" s="4">
        <v>0</v>
      </c>
      <c r="D924" t="s">
        <v>11</v>
      </c>
      <c r="E924" t="s">
        <v>14</v>
      </c>
      <c r="F924">
        <v>2023</v>
      </c>
      <c r="G924" s="4">
        <v>0</v>
      </c>
      <c r="H924">
        <v>42</v>
      </c>
      <c r="I924">
        <f t="shared" si="14"/>
        <v>0</v>
      </c>
    </row>
    <row r="925" spans="1:9" x14ac:dyDescent="0.3">
      <c r="A925">
        <v>35</v>
      </c>
      <c r="B925">
        <v>9</v>
      </c>
      <c r="C925" s="4">
        <v>0</v>
      </c>
      <c r="D925" t="s">
        <v>11</v>
      </c>
      <c r="E925" t="s">
        <v>14</v>
      </c>
      <c r="F925">
        <v>2023</v>
      </c>
      <c r="G925" s="4">
        <v>0</v>
      </c>
      <c r="H925">
        <v>42</v>
      </c>
      <c r="I925">
        <f t="shared" si="14"/>
        <v>0</v>
      </c>
    </row>
    <row r="926" spans="1:9" x14ac:dyDescent="0.3">
      <c r="A926">
        <v>36</v>
      </c>
      <c r="B926">
        <v>9</v>
      </c>
      <c r="C926" s="4">
        <v>0</v>
      </c>
      <c r="D926" t="s">
        <v>11</v>
      </c>
      <c r="E926" t="s">
        <v>14</v>
      </c>
      <c r="F926">
        <v>2023</v>
      </c>
      <c r="G926" s="4">
        <v>0</v>
      </c>
      <c r="H926">
        <v>42</v>
      </c>
      <c r="I926">
        <f t="shared" si="14"/>
        <v>0</v>
      </c>
    </row>
    <row r="927" spans="1:9" x14ac:dyDescent="0.3">
      <c r="A927">
        <v>37</v>
      </c>
      <c r="B927">
        <v>9</v>
      </c>
      <c r="C927" s="4">
        <v>0</v>
      </c>
      <c r="D927" t="s">
        <v>11</v>
      </c>
      <c r="E927" t="s">
        <v>14</v>
      </c>
      <c r="F927">
        <v>2023</v>
      </c>
      <c r="G927" s="4">
        <v>0</v>
      </c>
      <c r="H927">
        <v>42</v>
      </c>
      <c r="I927">
        <f t="shared" si="14"/>
        <v>0</v>
      </c>
    </row>
    <row r="928" spans="1:9" x14ac:dyDescent="0.3">
      <c r="A928">
        <v>38</v>
      </c>
      <c r="B928">
        <v>9</v>
      </c>
      <c r="C928" s="4">
        <v>0</v>
      </c>
      <c r="D928" t="s">
        <v>11</v>
      </c>
      <c r="E928" t="s">
        <v>14</v>
      </c>
      <c r="F928">
        <v>2023</v>
      </c>
      <c r="G928" s="4">
        <v>0</v>
      </c>
      <c r="H928">
        <v>42</v>
      </c>
      <c r="I928">
        <f t="shared" si="14"/>
        <v>0</v>
      </c>
    </row>
    <row r="929" spans="1:9" x14ac:dyDescent="0.3">
      <c r="A929">
        <v>39</v>
      </c>
      <c r="B929">
        <v>9</v>
      </c>
      <c r="C929" s="4">
        <v>0</v>
      </c>
      <c r="D929" t="s">
        <v>11</v>
      </c>
      <c r="E929" t="s">
        <v>14</v>
      </c>
      <c r="F929">
        <v>2023</v>
      </c>
      <c r="G929" s="4">
        <v>0</v>
      </c>
      <c r="H929">
        <v>42</v>
      </c>
      <c r="I929">
        <f t="shared" si="14"/>
        <v>0</v>
      </c>
    </row>
    <row r="930" spans="1:9" x14ac:dyDescent="0.3">
      <c r="A930">
        <v>40</v>
      </c>
      <c r="B930">
        <v>9</v>
      </c>
      <c r="C930" s="4">
        <v>0</v>
      </c>
      <c r="D930" t="s">
        <v>11</v>
      </c>
      <c r="E930" t="s">
        <v>14</v>
      </c>
      <c r="F930">
        <v>2023</v>
      </c>
      <c r="G930" s="4">
        <v>0</v>
      </c>
      <c r="H930">
        <v>42</v>
      </c>
      <c r="I930">
        <f t="shared" si="14"/>
        <v>0</v>
      </c>
    </row>
    <row r="931" spans="1:9" x14ac:dyDescent="0.3">
      <c r="A931">
        <v>41</v>
      </c>
      <c r="B931">
        <v>9</v>
      </c>
      <c r="C931" s="4">
        <v>0</v>
      </c>
      <c r="D931" t="s">
        <v>11</v>
      </c>
      <c r="E931" t="s">
        <v>14</v>
      </c>
      <c r="F931">
        <v>2023</v>
      </c>
      <c r="G931" s="4">
        <v>0</v>
      </c>
      <c r="H931">
        <v>42</v>
      </c>
      <c r="I931">
        <f t="shared" si="14"/>
        <v>0</v>
      </c>
    </row>
    <row r="932" spans="1:9" x14ac:dyDescent="0.3">
      <c r="A932">
        <v>42</v>
      </c>
      <c r="B932">
        <v>9</v>
      </c>
      <c r="C932" s="4">
        <v>0</v>
      </c>
      <c r="D932" t="s">
        <v>11</v>
      </c>
      <c r="E932" t="s">
        <v>14</v>
      </c>
      <c r="F932">
        <v>2023</v>
      </c>
      <c r="G932" s="4">
        <v>0</v>
      </c>
      <c r="H932">
        <v>42</v>
      </c>
      <c r="I932">
        <f t="shared" si="14"/>
        <v>0</v>
      </c>
    </row>
    <row r="933" spans="1:9" x14ac:dyDescent="0.3">
      <c r="A933">
        <v>43</v>
      </c>
      <c r="B933">
        <v>9</v>
      </c>
      <c r="C933" s="4">
        <v>0</v>
      </c>
      <c r="D933" t="s">
        <v>11</v>
      </c>
      <c r="E933" t="s">
        <v>14</v>
      </c>
      <c r="F933">
        <v>2023</v>
      </c>
      <c r="G933" s="4">
        <v>0</v>
      </c>
      <c r="H933">
        <v>42</v>
      </c>
      <c r="I933">
        <f t="shared" si="14"/>
        <v>0</v>
      </c>
    </row>
    <row r="934" spans="1:9" x14ac:dyDescent="0.3">
      <c r="A934">
        <v>44</v>
      </c>
      <c r="B934">
        <v>9</v>
      </c>
      <c r="C934" s="4">
        <v>0</v>
      </c>
      <c r="D934" t="s">
        <v>11</v>
      </c>
      <c r="E934" t="s">
        <v>14</v>
      </c>
      <c r="F934">
        <v>2023</v>
      </c>
      <c r="G934" s="4">
        <v>0</v>
      </c>
      <c r="H934">
        <v>42</v>
      </c>
      <c r="I934">
        <f t="shared" si="14"/>
        <v>0</v>
      </c>
    </row>
    <row r="935" spans="1:9" x14ac:dyDescent="0.3">
      <c r="A935">
        <v>45</v>
      </c>
      <c r="B935">
        <v>9</v>
      </c>
      <c r="C935" s="4">
        <v>0</v>
      </c>
      <c r="D935" t="s">
        <v>11</v>
      </c>
      <c r="E935" t="s">
        <v>14</v>
      </c>
      <c r="F935">
        <v>2023</v>
      </c>
      <c r="G935" s="4">
        <v>0</v>
      </c>
      <c r="H935">
        <v>42</v>
      </c>
      <c r="I935">
        <f t="shared" si="14"/>
        <v>0</v>
      </c>
    </row>
    <row r="936" spans="1:9" x14ac:dyDescent="0.3">
      <c r="A936">
        <v>46</v>
      </c>
      <c r="B936">
        <v>9</v>
      </c>
      <c r="C936" s="4">
        <v>0</v>
      </c>
      <c r="D936" t="s">
        <v>11</v>
      </c>
      <c r="E936" t="s">
        <v>14</v>
      </c>
      <c r="F936">
        <v>2023</v>
      </c>
      <c r="G936" s="4">
        <v>0</v>
      </c>
      <c r="H936">
        <v>42</v>
      </c>
      <c r="I936">
        <f t="shared" si="14"/>
        <v>0</v>
      </c>
    </row>
    <row r="937" spans="1:9" x14ac:dyDescent="0.3">
      <c r="A937">
        <v>1</v>
      </c>
      <c r="B937">
        <v>10</v>
      </c>
      <c r="C937" s="4">
        <v>50</v>
      </c>
      <c r="D937" t="s">
        <v>8</v>
      </c>
      <c r="E937" t="s">
        <v>14</v>
      </c>
      <c r="F937">
        <v>2023</v>
      </c>
      <c r="G937" s="4">
        <v>71.428571428571431</v>
      </c>
      <c r="H937">
        <v>45</v>
      </c>
      <c r="I937">
        <f t="shared" si="14"/>
        <v>1</v>
      </c>
    </row>
    <row r="938" spans="1:9" x14ac:dyDescent="0.3">
      <c r="A938">
        <v>2</v>
      </c>
      <c r="B938">
        <v>10</v>
      </c>
      <c r="C938" s="4">
        <v>45</v>
      </c>
      <c r="D938" t="s">
        <v>8</v>
      </c>
      <c r="E938" t="s">
        <v>14</v>
      </c>
      <c r="F938">
        <v>2023</v>
      </c>
      <c r="G938" s="4">
        <v>64.285714285714292</v>
      </c>
      <c r="H938">
        <v>45</v>
      </c>
      <c r="I938">
        <f t="shared" si="14"/>
        <v>1</v>
      </c>
    </row>
    <row r="939" spans="1:9" x14ac:dyDescent="0.3">
      <c r="A939">
        <v>3</v>
      </c>
      <c r="B939">
        <v>10</v>
      </c>
      <c r="C939" s="4">
        <v>42</v>
      </c>
      <c r="D939" t="s">
        <v>8</v>
      </c>
      <c r="E939" t="s">
        <v>14</v>
      </c>
      <c r="F939">
        <v>2023</v>
      </c>
      <c r="G939" s="4">
        <v>60</v>
      </c>
      <c r="H939">
        <v>45</v>
      </c>
      <c r="I939">
        <f t="shared" si="14"/>
        <v>0</v>
      </c>
    </row>
    <row r="940" spans="1:9" x14ac:dyDescent="0.3">
      <c r="A940">
        <v>4</v>
      </c>
      <c r="B940">
        <v>10</v>
      </c>
      <c r="C940" s="4">
        <v>37</v>
      </c>
      <c r="D940" t="s">
        <v>10</v>
      </c>
      <c r="E940" t="s">
        <v>14</v>
      </c>
      <c r="F940">
        <v>2023</v>
      </c>
      <c r="G940" s="4">
        <v>52.857142857142861</v>
      </c>
      <c r="H940">
        <v>45</v>
      </c>
      <c r="I940">
        <f t="shared" si="14"/>
        <v>0</v>
      </c>
    </row>
    <row r="941" spans="1:9" x14ac:dyDescent="0.3">
      <c r="A941">
        <v>5</v>
      </c>
      <c r="B941">
        <v>10</v>
      </c>
      <c r="C941" s="4">
        <v>37</v>
      </c>
      <c r="D941" t="s">
        <v>10</v>
      </c>
      <c r="E941" t="s">
        <v>14</v>
      </c>
      <c r="F941">
        <v>2023</v>
      </c>
      <c r="G941" s="4">
        <v>52.857142857142861</v>
      </c>
      <c r="H941">
        <v>45</v>
      </c>
      <c r="I941">
        <f t="shared" si="14"/>
        <v>0</v>
      </c>
    </row>
    <row r="942" spans="1:9" x14ac:dyDescent="0.3">
      <c r="A942">
        <v>6</v>
      </c>
      <c r="B942">
        <v>10</v>
      </c>
      <c r="C942" s="4">
        <v>30</v>
      </c>
      <c r="D942" t="s">
        <v>10</v>
      </c>
      <c r="E942" t="s">
        <v>14</v>
      </c>
      <c r="F942">
        <v>2023</v>
      </c>
      <c r="G942" s="4">
        <v>42.857142857142847</v>
      </c>
      <c r="H942">
        <v>45</v>
      </c>
      <c r="I942">
        <f t="shared" si="14"/>
        <v>0</v>
      </c>
    </row>
    <row r="943" spans="1:9" x14ac:dyDescent="0.3">
      <c r="A943">
        <v>7</v>
      </c>
      <c r="B943">
        <v>10</v>
      </c>
      <c r="C943" s="4">
        <v>30</v>
      </c>
      <c r="D943" t="s">
        <v>10</v>
      </c>
      <c r="E943" t="s">
        <v>14</v>
      </c>
      <c r="F943">
        <v>2023</v>
      </c>
      <c r="G943" s="4">
        <v>42.857142857142847</v>
      </c>
      <c r="H943">
        <v>45</v>
      </c>
      <c r="I943">
        <f t="shared" si="14"/>
        <v>0</v>
      </c>
    </row>
    <row r="944" spans="1:9" x14ac:dyDescent="0.3">
      <c r="A944">
        <v>8</v>
      </c>
      <c r="B944">
        <v>10</v>
      </c>
      <c r="C944" s="4">
        <v>29</v>
      </c>
      <c r="D944" t="s">
        <v>10</v>
      </c>
      <c r="E944" t="s">
        <v>14</v>
      </c>
      <c r="F944">
        <v>2023</v>
      </c>
      <c r="G944" s="4">
        <v>41.428571428571431</v>
      </c>
      <c r="H944">
        <v>45</v>
      </c>
      <c r="I944">
        <f t="shared" si="14"/>
        <v>0</v>
      </c>
    </row>
    <row r="945" spans="1:9" x14ac:dyDescent="0.3">
      <c r="A945">
        <v>9</v>
      </c>
      <c r="B945">
        <v>10</v>
      </c>
      <c r="C945" s="4">
        <v>29</v>
      </c>
      <c r="D945" t="s">
        <v>10</v>
      </c>
      <c r="E945" t="s">
        <v>14</v>
      </c>
      <c r="F945">
        <v>2023</v>
      </c>
      <c r="G945" s="4">
        <v>41.428571428571431</v>
      </c>
      <c r="H945">
        <v>45</v>
      </c>
      <c r="I945">
        <f t="shared" si="14"/>
        <v>0</v>
      </c>
    </row>
    <row r="946" spans="1:9" x14ac:dyDescent="0.3">
      <c r="A946">
        <v>10</v>
      </c>
      <c r="B946">
        <v>10</v>
      </c>
      <c r="C946" s="4">
        <v>29</v>
      </c>
      <c r="D946" t="s">
        <v>10</v>
      </c>
      <c r="E946" t="s">
        <v>14</v>
      </c>
      <c r="F946">
        <v>2023</v>
      </c>
      <c r="G946" s="4">
        <v>41.428571428571431</v>
      </c>
      <c r="H946">
        <v>45</v>
      </c>
      <c r="I946">
        <f t="shared" si="14"/>
        <v>0</v>
      </c>
    </row>
    <row r="947" spans="1:9" x14ac:dyDescent="0.3">
      <c r="A947">
        <v>11</v>
      </c>
      <c r="B947">
        <v>10</v>
      </c>
      <c r="C947" s="4">
        <v>28</v>
      </c>
      <c r="D947" t="s">
        <v>10</v>
      </c>
      <c r="E947" t="s">
        <v>14</v>
      </c>
      <c r="F947">
        <v>2023</v>
      </c>
      <c r="G947" s="4">
        <v>40</v>
      </c>
      <c r="H947">
        <v>45</v>
      </c>
      <c r="I947">
        <f t="shared" si="14"/>
        <v>0</v>
      </c>
    </row>
    <row r="948" spans="1:9" x14ac:dyDescent="0.3">
      <c r="A948">
        <v>12</v>
      </c>
      <c r="B948">
        <v>10</v>
      </c>
      <c r="C948" s="4">
        <v>28</v>
      </c>
      <c r="D948" t="s">
        <v>10</v>
      </c>
      <c r="E948" t="s">
        <v>14</v>
      </c>
      <c r="F948">
        <v>2023</v>
      </c>
      <c r="G948" s="4">
        <v>40</v>
      </c>
      <c r="H948">
        <v>45</v>
      </c>
      <c r="I948">
        <f t="shared" si="14"/>
        <v>0</v>
      </c>
    </row>
    <row r="949" spans="1:9" x14ac:dyDescent="0.3">
      <c r="A949">
        <v>13</v>
      </c>
      <c r="B949">
        <v>10</v>
      </c>
      <c r="C949" s="4">
        <v>28</v>
      </c>
      <c r="D949" t="s">
        <v>10</v>
      </c>
      <c r="E949" t="s">
        <v>14</v>
      </c>
      <c r="F949">
        <v>2023</v>
      </c>
      <c r="G949" s="4">
        <v>40</v>
      </c>
      <c r="H949">
        <v>45</v>
      </c>
      <c r="I949">
        <f t="shared" si="14"/>
        <v>0</v>
      </c>
    </row>
    <row r="950" spans="1:9" x14ac:dyDescent="0.3">
      <c r="A950">
        <v>14</v>
      </c>
      <c r="B950">
        <v>10</v>
      </c>
      <c r="C950" s="4">
        <v>28</v>
      </c>
      <c r="D950" t="s">
        <v>10</v>
      </c>
      <c r="E950" t="s">
        <v>14</v>
      </c>
      <c r="F950">
        <v>2023</v>
      </c>
      <c r="G950" s="4">
        <v>40</v>
      </c>
      <c r="H950">
        <v>45</v>
      </c>
      <c r="I950">
        <f t="shared" si="14"/>
        <v>0</v>
      </c>
    </row>
    <row r="951" spans="1:9" x14ac:dyDescent="0.3">
      <c r="A951">
        <v>15</v>
      </c>
      <c r="B951">
        <v>10</v>
      </c>
      <c r="C951" s="4">
        <v>27</v>
      </c>
      <c r="D951" t="s">
        <v>10</v>
      </c>
      <c r="E951" t="s">
        <v>14</v>
      </c>
      <c r="F951">
        <v>2023</v>
      </c>
      <c r="G951" s="4">
        <v>38.571428571428577</v>
      </c>
      <c r="H951">
        <v>45</v>
      </c>
      <c r="I951">
        <f t="shared" si="14"/>
        <v>0</v>
      </c>
    </row>
    <row r="952" spans="1:9" x14ac:dyDescent="0.3">
      <c r="A952">
        <v>16</v>
      </c>
      <c r="B952">
        <v>10</v>
      </c>
      <c r="C952" s="4">
        <v>25</v>
      </c>
      <c r="D952" t="s">
        <v>11</v>
      </c>
      <c r="E952" t="s">
        <v>14</v>
      </c>
      <c r="F952">
        <v>2023</v>
      </c>
      <c r="G952" s="4">
        <v>35.714285714285722</v>
      </c>
      <c r="H952">
        <v>45</v>
      </c>
      <c r="I952">
        <f t="shared" si="14"/>
        <v>0</v>
      </c>
    </row>
    <row r="953" spans="1:9" x14ac:dyDescent="0.3">
      <c r="A953">
        <v>17</v>
      </c>
      <c r="B953">
        <v>10</v>
      </c>
      <c r="C953" s="4">
        <v>24</v>
      </c>
      <c r="D953" t="s">
        <v>11</v>
      </c>
      <c r="E953" t="s">
        <v>14</v>
      </c>
      <c r="F953">
        <v>2023</v>
      </c>
      <c r="G953" s="4">
        <v>34.285714285714278</v>
      </c>
      <c r="H953">
        <v>45</v>
      </c>
      <c r="I953">
        <f t="shared" si="14"/>
        <v>0</v>
      </c>
    </row>
    <row r="954" spans="1:9" x14ac:dyDescent="0.3">
      <c r="A954">
        <v>18</v>
      </c>
      <c r="B954">
        <v>10</v>
      </c>
      <c r="C954" s="4">
        <v>22</v>
      </c>
      <c r="D954" t="s">
        <v>11</v>
      </c>
      <c r="E954" t="s">
        <v>14</v>
      </c>
      <c r="F954">
        <v>2023</v>
      </c>
      <c r="G954" s="4">
        <v>31.428571428571431</v>
      </c>
      <c r="H954">
        <v>45</v>
      </c>
      <c r="I954">
        <f t="shared" si="14"/>
        <v>0</v>
      </c>
    </row>
    <row r="955" spans="1:9" x14ac:dyDescent="0.3">
      <c r="A955">
        <v>19</v>
      </c>
      <c r="B955">
        <v>10</v>
      </c>
      <c r="C955" s="4">
        <v>21</v>
      </c>
      <c r="D955" t="s">
        <v>11</v>
      </c>
      <c r="E955" t="s">
        <v>14</v>
      </c>
      <c r="F955">
        <v>2023</v>
      </c>
      <c r="G955" s="4">
        <v>30</v>
      </c>
      <c r="H955">
        <v>45</v>
      </c>
      <c r="I955">
        <f t="shared" si="14"/>
        <v>0</v>
      </c>
    </row>
    <row r="956" spans="1:9" x14ac:dyDescent="0.3">
      <c r="A956">
        <v>20</v>
      </c>
      <c r="B956">
        <v>10</v>
      </c>
      <c r="C956" s="4">
        <v>21</v>
      </c>
      <c r="D956" t="s">
        <v>11</v>
      </c>
      <c r="E956" t="s">
        <v>14</v>
      </c>
      <c r="F956">
        <v>2023</v>
      </c>
      <c r="G956" s="4">
        <v>30</v>
      </c>
      <c r="H956">
        <v>45</v>
      </c>
      <c r="I956">
        <f t="shared" si="14"/>
        <v>0</v>
      </c>
    </row>
    <row r="957" spans="1:9" x14ac:dyDescent="0.3">
      <c r="A957">
        <v>21</v>
      </c>
      <c r="B957">
        <v>10</v>
      </c>
      <c r="C957" s="4">
        <v>21</v>
      </c>
      <c r="D957" t="s">
        <v>11</v>
      </c>
      <c r="E957" t="s">
        <v>14</v>
      </c>
      <c r="F957">
        <v>2023</v>
      </c>
      <c r="G957" s="4">
        <v>30</v>
      </c>
      <c r="H957">
        <v>45</v>
      </c>
      <c r="I957">
        <f t="shared" si="14"/>
        <v>0</v>
      </c>
    </row>
    <row r="958" spans="1:9" x14ac:dyDescent="0.3">
      <c r="A958">
        <v>22</v>
      </c>
      <c r="B958">
        <v>10</v>
      </c>
      <c r="C958" s="4">
        <v>17</v>
      </c>
      <c r="D958" t="s">
        <v>11</v>
      </c>
      <c r="E958" t="s">
        <v>14</v>
      </c>
      <c r="F958">
        <v>2023</v>
      </c>
      <c r="G958" s="4">
        <v>24.285714285714281</v>
      </c>
      <c r="H958">
        <v>45</v>
      </c>
      <c r="I958">
        <f t="shared" si="14"/>
        <v>0</v>
      </c>
    </row>
    <row r="959" spans="1:9" x14ac:dyDescent="0.3">
      <c r="A959">
        <v>23</v>
      </c>
      <c r="B959">
        <v>10</v>
      </c>
      <c r="C959" s="4">
        <v>16</v>
      </c>
      <c r="D959" t="s">
        <v>11</v>
      </c>
      <c r="E959" t="s">
        <v>14</v>
      </c>
      <c r="F959">
        <v>2023</v>
      </c>
      <c r="G959" s="4">
        <v>22.857142857142861</v>
      </c>
      <c r="H959">
        <v>45</v>
      </c>
      <c r="I959">
        <f t="shared" si="14"/>
        <v>0</v>
      </c>
    </row>
    <row r="960" spans="1:9" x14ac:dyDescent="0.3">
      <c r="A960">
        <v>24</v>
      </c>
      <c r="B960">
        <v>10</v>
      </c>
      <c r="C960" s="4">
        <v>16</v>
      </c>
      <c r="D960" t="s">
        <v>11</v>
      </c>
      <c r="E960" t="s">
        <v>14</v>
      </c>
      <c r="F960">
        <v>2023</v>
      </c>
      <c r="G960" s="4">
        <v>22.857142857142861</v>
      </c>
      <c r="H960">
        <v>45</v>
      </c>
      <c r="I960">
        <f t="shared" si="14"/>
        <v>0</v>
      </c>
    </row>
    <row r="961" spans="1:9" x14ac:dyDescent="0.3">
      <c r="A961">
        <v>25</v>
      </c>
      <c r="B961">
        <v>10</v>
      </c>
      <c r="C961" s="4">
        <v>16</v>
      </c>
      <c r="D961" t="s">
        <v>11</v>
      </c>
      <c r="E961" t="s">
        <v>14</v>
      </c>
      <c r="F961">
        <v>2023</v>
      </c>
      <c r="G961" s="4">
        <v>22.857142857142861</v>
      </c>
      <c r="H961">
        <v>45</v>
      </c>
      <c r="I961">
        <f t="shared" si="14"/>
        <v>0</v>
      </c>
    </row>
    <row r="962" spans="1:9" x14ac:dyDescent="0.3">
      <c r="A962">
        <v>26</v>
      </c>
      <c r="B962">
        <v>10</v>
      </c>
      <c r="C962" s="4">
        <v>15</v>
      </c>
      <c r="D962" t="s">
        <v>11</v>
      </c>
      <c r="E962" t="s">
        <v>14</v>
      </c>
      <c r="F962">
        <v>2023</v>
      </c>
      <c r="G962" s="4">
        <v>21.428571428571431</v>
      </c>
      <c r="H962">
        <v>45</v>
      </c>
      <c r="I962">
        <f t="shared" si="14"/>
        <v>0</v>
      </c>
    </row>
    <row r="963" spans="1:9" x14ac:dyDescent="0.3">
      <c r="A963">
        <v>27</v>
      </c>
      <c r="B963">
        <v>10</v>
      </c>
      <c r="C963" s="4">
        <v>15</v>
      </c>
      <c r="D963" t="s">
        <v>11</v>
      </c>
      <c r="E963" t="s">
        <v>14</v>
      </c>
      <c r="F963">
        <v>2023</v>
      </c>
      <c r="G963" s="4">
        <v>21.428571428571431</v>
      </c>
      <c r="H963">
        <v>45</v>
      </c>
      <c r="I963">
        <f t="shared" ref="I963:I1026" si="15">IF(C963&gt;=H963,1,0)</f>
        <v>0</v>
      </c>
    </row>
    <row r="964" spans="1:9" x14ac:dyDescent="0.3">
      <c r="A964">
        <v>28</v>
      </c>
      <c r="B964">
        <v>10</v>
      </c>
      <c r="C964" s="4">
        <v>15</v>
      </c>
      <c r="D964" t="s">
        <v>11</v>
      </c>
      <c r="E964" t="s">
        <v>14</v>
      </c>
      <c r="F964">
        <v>2023</v>
      </c>
      <c r="G964" s="4">
        <v>21.428571428571431</v>
      </c>
      <c r="H964">
        <v>45</v>
      </c>
      <c r="I964">
        <f t="shared" si="15"/>
        <v>0</v>
      </c>
    </row>
    <row r="965" spans="1:9" x14ac:dyDescent="0.3">
      <c r="A965">
        <v>29</v>
      </c>
      <c r="B965">
        <v>10</v>
      </c>
      <c r="C965" s="4">
        <v>14</v>
      </c>
      <c r="D965" t="s">
        <v>11</v>
      </c>
      <c r="E965" t="s">
        <v>14</v>
      </c>
      <c r="F965">
        <v>2023</v>
      </c>
      <c r="G965" s="4">
        <v>20</v>
      </c>
      <c r="H965">
        <v>45</v>
      </c>
      <c r="I965">
        <f t="shared" si="15"/>
        <v>0</v>
      </c>
    </row>
    <row r="966" spans="1:9" x14ac:dyDescent="0.3">
      <c r="A966">
        <v>30</v>
      </c>
      <c r="B966">
        <v>10</v>
      </c>
      <c r="C966" s="4">
        <v>14</v>
      </c>
      <c r="D966" t="s">
        <v>11</v>
      </c>
      <c r="E966" t="s">
        <v>14</v>
      </c>
      <c r="F966">
        <v>2023</v>
      </c>
      <c r="G966" s="4">
        <v>20</v>
      </c>
      <c r="H966">
        <v>45</v>
      </c>
      <c r="I966">
        <f t="shared" si="15"/>
        <v>0</v>
      </c>
    </row>
    <row r="967" spans="1:9" x14ac:dyDescent="0.3">
      <c r="A967">
        <v>31</v>
      </c>
      <c r="B967">
        <v>10</v>
      </c>
      <c r="C967" s="4">
        <v>14</v>
      </c>
      <c r="D967" t="s">
        <v>11</v>
      </c>
      <c r="E967" t="s">
        <v>14</v>
      </c>
      <c r="F967">
        <v>2023</v>
      </c>
      <c r="G967" s="4">
        <v>20</v>
      </c>
      <c r="H967">
        <v>45</v>
      </c>
      <c r="I967">
        <f t="shared" si="15"/>
        <v>0</v>
      </c>
    </row>
    <row r="968" spans="1:9" x14ac:dyDescent="0.3">
      <c r="A968">
        <v>32</v>
      </c>
      <c r="B968">
        <v>10</v>
      </c>
      <c r="C968" s="4">
        <v>14</v>
      </c>
      <c r="D968" t="s">
        <v>11</v>
      </c>
      <c r="E968" t="s">
        <v>14</v>
      </c>
      <c r="F968">
        <v>2023</v>
      </c>
      <c r="G968" s="4">
        <v>20</v>
      </c>
      <c r="H968">
        <v>45</v>
      </c>
      <c r="I968">
        <f t="shared" si="15"/>
        <v>0</v>
      </c>
    </row>
    <row r="969" spans="1:9" x14ac:dyDescent="0.3">
      <c r="A969">
        <v>33</v>
      </c>
      <c r="B969">
        <v>10</v>
      </c>
      <c r="C969" s="4">
        <v>12</v>
      </c>
      <c r="D969" t="s">
        <v>11</v>
      </c>
      <c r="E969" t="s">
        <v>14</v>
      </c>
      <c r="F969">
        <v>2023</v>
      </c>
      <c r="G969" s="4">
        <v>17.142857142857139</v>
      </c>
      <c r="H969">
        <v>45</v>
      </c>
      <c r="I969">
        <f t="shared" si="15"/>
        <v>0</v>
      </c>
    </row>
    <row r="970" spans="1:9" x14ac:dyDescent="0.3">
      <c r="A970">
        <v>34</v>
      </c>
      <c r="B970">
        <v>10</v>
      </c>
      <c r="C970" s="4">
        <v>12</v>
      </c>
      <c r="D970" t="s">
        <v>11</v>
      </c>
      <c r="E970" t="s">
        <v>14</v>
      </c>
      <c r="F970">
        <v>2023</v>
      </c>
      <c r="G970" s="4">
        <v>17.142857142857139</v>
      </c>
      <c r="H970">
        <v>45</v>
      </c>
      <c r="I970">
        <f t="shared" si="15"/>
        <v>0</v>
      </c>
    </row>
    <row r="971" spans="1:9" x14ac:dyDescent="0.3">
      <c r="A971">
        <v>35</v>
      </c>
      <c r="B971">
        <v>10</v>
      </c>
      <c r="C971" s="4">
        <v>10</v>
      </c>
      <c r="D971" t="s">
        <v>11</v>
      </c>
      <c r="E971" t="s">
        <v>14</v>
      </c>
      <c r="F971">
        <v>2023</v>
      </c>
      <c r="G971" s="4">
        <v>14.285714285714279</v>
      </c>
      <c r="H971">
        <v>45</v>
      </c>
      <c r="I971">
        <f t="shared" si="15"/>
        <v>0</v>
      </c>
    </row>
    <row r="972" spans="1:9" x14ac:dyDescent="0.3">
      <c r="A972" t="s">
        <v>15</v>
      </c>
      <c r="B972">
        <v>10</v>
      </c>
      <c r="C972" s="4">
        <v>10</v>
      </c>
      <c r="D972" t="s">
        <v>11</v>
      </c>
      <c r="E972" t="s">
        <v>14</v>
      </c>
      <c r="F972">
        <v>2023</v>
      </c>
      <c r="G972" s="4">
        <v>14.285714285714279</v>
      </c>
      <c r="H972">
        <v>45</v>
      </c>
      <c r="I972">
        <f t="shared" si="15"/>
        <v>0</v>
      </c>
    </row>
    <row r="973" spans="1:9" x14ac:dyDescent="0.3">
      <c r="A973">
        <v>37</v>
      </c>
      <c r="B973">
        <v>10</v>
      </c>
      <c r="C973" s="4">
        <v>9</v>
      </c>
      <c r="D973" t="s">
        <v>11</v>
      </c>
      <c r="E973" t="s">
        <v>14</v>
      </c>
      <c r="F973">
        <v>2023</v>
      </c>
      <c r="G973" s="4">
        <v>12.857142857142859</v>
      </c>
      <c r="H973">
        <v>45</v>
      </c>
      <c r="I973">
        <f t="shared" si="15"/>
        <v>0</v>
      </c>
    </row>
    <row r="974" spans="1:9" x14ac:dyDescent="0.3">
      <c r="A974">
        <v>38</v>
      </c>
      <c r="B974">
        <v>10</v>
      </c>
      <c r="C974" s="4">
        <v>8</v>
      </c>
      <c r="D974" t="s">
        <v>11</v>
      </c>
      <c r="E974" t="s">
        <v>14</v>
      </c>
      <c r="F974">
        <v>2023</v>
      </c>
      <c r="G974" s="4">
        <v>11.428571428571431</v>
      </c>
      <c r="H974">
        <v>45</v>
      </c>
      <c r="I974">
        <f t="shared" si="15"/>
        <v>0</v>
      </c>
    </row>
    <row r="975" spans="1:9" x14ac:dyDescent="0.3">
      <c r="A975">
        <v>39</v>
      </c>
      <c r="B975">
        <v>10</v>
      </c>
      <c r="C975" s="4">
        <v>8</v>
      </c>
      <c r="D975" t="s">
        <v>11</v>
      </c>
      <c r="E975" t="s">
        <v>14</v>
      </c>
      <c r="F975">
        <v>2023</v>
      </c>
      <c r="G975" s="4">
        <v>11.428571428571431</v>
      </c>
      <c r="H975">
        <v>45</v>
      </c>
      <c r="I975">
        <f t="shared" si="15"/>
        <v>0</v>
      </c>
    </row>
    <row r="976" spans="1:9" x14ac:dyDescent="0.3">
      <c r="A976">
        <v>40</v>
      </c>
      <c r="B976">
        <v>10</v>
      </c>
      <c r="C976" s="4">
        <v>7</v>
      </c>
      <c r="D976" t="s">
        <v>11</v>
      </c>
      <c r="E976" t="s">
        <v>14</v>
      </c>
      <c r="F976">
        <v>2023</v>
      </c>
      <c r="G976" s="4">
        <v>10</v>
      </c>
      <c r="H976">
        <v>45</v>
      </c>
      <c r="I976">
        <f t="shared" si="15"/>
        <v>0</v>
      </c>
    </row>
    <row r="977" spans="1:9" x14ac:dyDescent="0.3">
      <c r="A977">
        <v>41</v>
      </c>
      <c r="B977">
        <v>10</v>
      </c>
      <c r="C977" s="4">
        <v>7</v>
      </c>
      <c r="D977" t="s">
        <v>11</v>
      </c>
      <c r="E977" t="s">
        <v>14</v>
      </c>
      <c r="F977">
        <v>2023</v>
      </c>
      <c r="G977" s="4">
        <v>10</v>
      </c>
      <c r="H977">
        <v>45</v>
      </c>
      <c r="I977">
        <f t="shared" si="15"/>
        <v>0</v>
      </c>
    </row>
    <row r="978" spans="1:9" x14ac:dyDescent="0.3">
      <c r="A978">
        <v>42</v>
      </c>
      <c r="B978">
        <v>10</v>
      </c>
      <c r="C978" s="4">
        <v>7</v>
      </c>
      <c r="D978" t="s">
        <v>11</v>
      </c>
      <c r="E978" t="s">
        <v>14</v>
      </c>
      <c r="F978">
        <v>2023</v>
      </c>
      <c r="G978" s="4">
        <v>10</v>
      </c>
      <c r="H978">
        <v>45</v>
      </c>
      <c r="I978">
        <f t="shared" si="15"/>
        <v>0</v>
      </c>
    </row>
    <row r="979" spans="1:9" x14ac:dyDescent="0.3">
      <c r="A979">
        <v>43</v>
      </c>
      <c r="B979">
        <v>10</v>
      </c>
      <c r="C979" s="4">
        <v>4</v>
      </c>
      <c r="D979" t="s">
        <v>11</v>
      </c>
      <c r="E979" t="s">
        <v>14</v>
      </c>
      <c r="F979">
        <v>2023</v>
      </c>
      <c r="G979" s="4">
        <v>5.7142857142857144</v>
      </c>
      <c r="H979">
        <v>45</v>
      </c>
      <c r="I979">
        <f t="shared" si="15"/>
        <v>0</v>
      </c>
    </row>
    <row r="980" spans="1:9" x14ac:dyDescent="0.3">
      <c r="A980">
        <v>44</v>
      </c>
      <c r="B980">
        <v>10</v>
      </c>
      <c r="C980" s="4">
        <v>3</v>
      </c>
      <c r="D980" t="s">
        <v>11</v>
      </c>
      <c r="E980" t="s">
        <v>14</v>
      </c>
      <c r="F980">
        <v>2023</v>
      </c>
      <c r="G980" s="4">
        <v>4.2857142857142856</v>
      </c>
      <c r="H980">
        <v>45</v>
      </c>
      <c r="I980">
        <f t="shared" si="15"/>
        <v>0</v>
      </c>
    </row>
    <row r="981" spans="1:9" x14ac:dyDescent="0.3">
      <c r="A981">
        <v>45</v>
      </c>
      <c r="B981">
        <v>10</v>
      </c>
      <c r="C981" s="4">
        <v>0</v>
      </c>
      <c r="D981" t="s">
        <v>11</v>
      </c>
      <c r="E981" t="s">
        <v>14</v>
      </c>
      <c r="F981">
        <v>2023</v>
      </c>
      <c r="G981" s="4">
        <v>0</v>
      </c>
      <c r="H981">
        <v>45</v>
      </c>
      <c r="I981">
        <f t="shared" si="15"/>
        <v>0</v>
      </c>
    </row>
    <row r="982" spans="1:9" x14ac:dyDescent="0.3">
      <c r="A982">
        <v>1</v>
      </c>
      <c r="B982">
        <v>11</v>
      </c>
      <c r="C982" s="4">
        <v>49</v>
      </c>
      <c r="D982" t="s">
        <v>8</v>
      </c>
      <c r="E982" t="s">
        <v>14</v>
      </c>
      <c r="F982">
        <v>2023</v>
      </c>
      <c r="G982" s="4">
        <v>70</v>
      </c>
      <c r="H982">
        <v>49</v>
      </c>
      <c r="I982">
        <f t="shared" si="15"/>
        <v>1</v>
      </c>
    </row>
    <row r="983" spans="1:9" x14ac:dyDescent="0.3">
      <c r="A983">
        <v>2</v>
      </c>
      <c r="B983">
        <v>11</v>
      </c>
      <c r="C983" s="4">
        <v>39</v>
      </c>
      <c r="D983" t="s">
        <v>8</v>
      </c>
      <c r="E983" t="s">
        <v>14</v>
      </c>
      <c r="F983">
        <v>2023</v>
      </c>
      <c r="G983" s="4">
        <v>55.714285714285722</v>
      </c>
      <c r="H983">
        <v>49</v>
      </c>
      <c r="I983">
        <f t="shared" si="15"/>
        <v>0</v>
      </c>
    </row>
    <row r="984" spans="1:9" x14ac:dyDescent="0.3">
      <c r="A984">
        <v>3</v>
      </c>
      <c r="B984">
        <v>11</v>
      </c>
      <c r="C984" s="4">
        <v>35</v>
      </c>
      <c r="D984" t="s">
        <v>10</v>
      </c>
      <c r="E984" t="s">
        <v>14</v>
      </c>
      <c r="F984">
        <v>2023</v>
      </c>
      <c r="G984" s="4">
        <v>50</v>
      </c>
      <c r="H984">
        <v>49</v>
      </c>
      <c r="I984">
        <f t="shared" si="15"/>
        <v>0</v>
      </c>
    </row>
    <row r="985" spans="1:9" x14ac:dyDescent="0.3">
      <c r="A985">
        <v>4</v>
      </c>
      <c r="B985">
        <v>11</v>
      </c>
      <c r="C985" s="4">
        <v>35</v>
      </c>
      <c r="D985" t="s">
        <v>10</v>
      </c>
      <c r="E985" t="s">
        <v>14</v>
      </c>
      <c r="F985">
        <v>2023</v>
      </c>
      <c r="G985" s="4">
        <v>50</v>
      </c>
      <c r="H985">
        <v>49</v>
      </c>
      <c r="I985">
        <f t="shared" si="15"/>
        <v>0</v>
      </c>
    </row>
    <row r="986" spans="1:9" x14ac:dyDescent="0.3">
      <c r="A986">
        <v>5</v>
      </c>
      <c r="B986">
        <v>11</v>
      </c>
      <c r="C986" s="4">
        <v>35</v>
      </c>
      <c r="D986" t="s">
        <v>10</v>
      </c>
      <c r="E986" t="s">
        <v>14</v>
      </c>
      <c r="F986">
        <v>2023</v>
      </c>
      <c r="G986" s="4">
        <v>50</v>
      </c>
      <c r="H986">
        <v>49</v>
      </c>
      <c r="I986">
        <f t="shared" si="15"/>
        <v>0</v>
      </c>
    </row>
    <row r="987" spans="1:9" x14ac:dyDescent="0.3">
      <c r="A987">
        <v>6</v>
      </c>
      <c r="B987">
        <v>11</v>
      </c>
      <c r="C987" s="4">
        <v>35</v>
      </c>
      <c r="D987" t="s">
        <v>10</v>
      </c>
      <c r="E987" t="s">
        <v>14</v>
      </c>
      <c r="F987">
        <v>2023</v>
      </c>
      <c r="G987" s="4">
        <v>50</v>
      </c>
      <c r="H987">
        <v>49</v>
      </c>
      <c r="I987">
        <f t="shared" si="15"/>
        <v>0</v>
      </c>
    </row>
    <row r="988" spans="1:9" x14ac:dyDescent="0.3">
      <c r="A988">
        <v>7</v>
      </c>
      <c r="B988">
        <v>11</v>
      </c>
      <c r="C988" s="4">
        <v>28</v>
      </c>
      <c r="D988" t="s">
        <v>10</v>
      </c>
      <c r="E988" t="s">
        <v>14</v>
      </c>
      <c r="F988">
        <v>2023</v>
      </c>
      <c r="G988" s="4">
        <v>40</v>
      </c>
      <c r="H988">
        <v>49</v>
      </c>
      <c r="I988">
        <f t="shared" si="15"/>
        <v>0</v>
      </c>
    </row>
    <row r="989" spans="1:9" x14ac:dyDescent="0.3">
      <c r="A989">
        <v>8</v>
      </c>
      <c r="B989">
        <v>11</v>
      </c>
      <c r="C989" s="4">
        <v>28</v>
      </c>
      <c r="D989" t="s">
        <v>10</v>
      </c>
      <c r="E989" t="s">
        <v>14</v>
      </c>
      <c r="F989">
        <v>2023</v>
      </c>
      <c r="G989" s="4">
        <v>40</v>
      </c>
      <c r="H989">
        <v>49</v>
      </c>
      <c r="I989">
        <f t="shared" si="15"/>
        <v>0</v>
      </c>
    </row>
    <row r="990" spans="1:9" x14ac:dyDescent="0.3">
      <c r="A990">
        <v>9</v>
      </c>
      <c r="B990">
        <v>11</v>
      </c>
      <c r="C990" s="4">
        <v>25</v>
      </c>
      <c r="D990" t="s">
        <v>11</v>
      </c>
      <c r="E990" t="s">
        <v>14</v>
      </c>
      <c r="F990">
        <v>2023</v>
      </c>
      <c r="G990" s="4">
        <v>35.714285714285722</v>
      </c>
      <c r="H990">
        <v>49</v>
      </c>
      <c r="I990">
        <f t="shared" si="15"/>
        <v>0</v>
      </c>
    </row>
    <row r="991" spans="1:9" x14ac:dyDescent="0.3">
      <c r="A991">
        <v>10</v>
      </c>
      <c r="B991">
        <v>11</v>
      </c>
      <c r="C991" s="4">
        <v>25</v>
      </c>
      <c r="D991" t="s">
        <v>11</v>
      </c>
      <c r="E991" t="s">
        <v>14</v>
      </c>
      <c r="F991">
        <v>2023</v>
      </c>
      <c r="G991" s="4">
        <v>35.714285714285722</v>
      </c>
      <c r="H991">
        <v>49</v>
      </c>
      <c r="I991">
        <f t="shared" si="15"/>
        <v>0</v>
      </c>
    </row>
    <row r="992" spans="1:9" x14ac:dyDescent="0.3">
      <c r="A992">
        <v>11</v>
      </c>
      <c r="B992">
        <v>11</v>
      </c>
      <c r="C992" s="4">
        <v>21</v>
      </c>
      <c r="D992" t="s">
        <v>11</v>
      </c>
      <c r="E992" t="s">
        <v>14</v>
      </c>
      <c r="F992">
        <v>2023</v>
      </c>
      <c r="G992" s="4">
        <v>30</v>
      </c>
      <c r="H992">
        <v>49</v>
      </c>
      <c r="I992">
        <f t="shared" si="15"/>
        <v>0</v>
      </c>
    </row>
    <row r="993" spans="1:9" x14ac:dyDescent="0.3">
      <c r="A993">
        <v>12</v>
      </c>
      <c r="B993">
        <v>11</v>
      </c>
      <c r="C993" s="4">
        <v>20</v>
      </c>
      <c r="D993" t="s">
        <v>11</v>
      </c>
      <c r="E993" t="s">
        <v>14</v>
      </c>
      <c r="F993">
        <v>2023</v>
      </c>
      <c r="G993" s="4">
        <v>28.571428571428569</v>
      </c>
      <c r="H993">
        <v>49</v>
      </c>
      <c r="I993">
        <f t="shared" si="15"/>
        <v>0</v>
      </c>
    </row>
    <row r="994" spans="1:9" x14ac:dyDescent="0.3">
      <c r="A994">
        <v>13</v>
      </c>
      <c r="B994">
        <v>11</v>
      </c>
      <c r="C994" s="4">
        <v>20</v>
      </c>
      <c r="D994" t="s">
        <v>11</v>
      </c>
      <c r="E994" t="s">
        <v>14</v>
      </c>
      <c r="F994">
        <v>2023</v>
      </c>
      <c r="G994" s="4">
        <v>28.571428571428569</v>
      </c>
      <c r="H994">
        <v>49</v>
      </c>
      <c r="I994">
        <f t="shared" si="15"/>
        <v>0</v>
      </c>
    </row>
    <row r="995" spans="1:9" x14ac:dyDescent="0.3">
      <c r="A995">
        <v>14</v>
      </c>
      <c r="B995">
        <v>11</v>
      </c>
      <c r="C995" s="4">
        <v>16</v>
      </c>
      <c r="D995" t="s">
        <v>11</v>
      </c>
      <c r="E995" t="s">
        <v>14</v>
      </c>
      <c r="F995">
        <v>2023</v>
      </c>
      <c r="G995" s="4">
        <v>22.857142857142861</v>
      </c>
      <c r="H995">
        <v>49</v>
      </c>
      <c r="I995">
        <f t="shared" si="15"/>
        <v>0</v>
      </c>
    </row>
    <row r="996" spans="1:9" x14ac:dyDescent="0.3">
      <c r="A996">
        <v>15</v>
      </c>
      <c r="B996">
        <v>11</v>
      </c>
      <c r="C996" s="4">
        <v>15</v>
      </c>
      <c r="D996" t="s">
        <v>11</v>
      </c>
      <c r="E996" t="s">
        <v>14</v>
      </c>
      <c r="F996">
        <v>2023</v>
      </c>
      <c r="G996" s="4">
        <v>21.428571428571431</v>
      </c>
      <c r="H996">
        <v>49</v>
      </c>
      <c r="I996">
        <f t="shared" si="15"/>
        <v>0</v>
      </c>
    </row>
    <row r="997" spans="1:9" x14ac:dyDescent="0.3">
      <c r="A997">
        <v>16</v>
      </c>
      <c r="B997">
        <v>11</v>
      </c>
      <c r="C997" s="4">
        <v>15</v>
      </c>
      <c r="D997" t="s">
        <v>11</v>
      </c>
      <c r="E997" t="s">
        <v>14</v>
      </c>
      <c r="F997">
        <v>2023</v>
      </c>
      <c r="G997" s="4">
        <v>21.428571428571431</v>
      </c>
      <c r="H997">
        <v>49</v>
      </c>
      <c r="I997">
        <f t="shared" si="15"/>
        <v>0</v>
      </c>
    </row>
    <row r="998" spans="1:9" x14ac:dyDescent="0.3">
      <c r="A998">
        <v>17</v>
      </c>
      <c r="B998">
        <v>11</v>
      </c>
      <c r="C998" s="4">
        <v>14</v>
      </c>
      <c r="D998" t="s">
        <v>11</v>
      </c>
      <c r="E998" t="s">
        <v>14</v>
      </c>
      <c r="F998">
        <v>2023</v>
      </c>
      <c r="G998" s="4">
        <v>20</v>
      </c>
      <c r="H998">
        <v>49</v>
      </c>
      <c r="I998">
        <f t="shared" si="15"/>
        <v>0</v>
      </c>
    </row>
    <row r="999" spans="1:9" x14ac:dyDescent="0.3">
      <c r="A999">
        <v>18</v>
      </c>
      <c r="B999">
        <v>11</v>
      </c>
      <c r="C999" s="4">
        <v>14</v>
      </c>
      <c r="D999" t="s">
        <v>11</v>
      </c>
      <c r="E999" t="s">
        <v>14</v>
      </c>
      <c r="F999">
        <v>2023</v>
      </c>
      <c r="G999" s="4">
        <v>20</v>
      </c>
      <c r="H999">
        <v>49</v>
      </c>
      <c r="I999">
        <f t="shared" si="15"/>
        <v>0</v>
      </c>
    </row>
    <row r="1000" spans="1:9" x14ac:dyDescent="0.3">
      <c r="A1000">
        <v>19</v>
      </c>
      <c r="B1000">
        <v>11</v>
      </c>
      <c r="C1000" s="4">
        <v>14</v>
      </c>
      <c r="D1000" t="s">
        <v>11</v>
      </c>
      <c r="E1000" t="s">
        <v>14</v>
      </c>
      <c r="F1000">
        <v>2023</v>
      </c>
      <c r="G1000" s="4">
        <v>20</v>
      </c>
      <c r="H1000">
        <v>49</v>
      </c>
      <c r="I1000">
        <f t="shared" si="15"/>
        <v>0</v>
      </c>
    </row>
    <row r="1001" spans="1:9" x14ac:dyDescent="0.3">
      <c r="A1001">
        <v>20</v>
      </c>
      <c r="B1001">
        <v>11</v>
      </c>
      <c r="C1001" s="4">
        <v>14</v>
      </c>
      <c r="D1001" t="s">
        <v>11</v>
      </c>
      <c r="E1001" t="s">
        <v>14</v>
      </c>
      <c r="F1001">
        <v>2023</v>
      </c>
      <c r="G1001" s="4">
        <v>20</v>
      </c>
      <c r="H1001">
        <v>49</v>
      </c>
      <c r="I1001">
        <f t="shared" si="15"/>
        <v>0</v>
      </c>
    </row>
    <row r="1002" spans="1:9" x14ac:dyDescent="0.3">
      <c r="A1002">
        <v>21</v>
      </c>
      <c r="B1002">
        <v>11</v>
      </c>
      <c r="C1002" s="4">
        <v>14</v>
      </c>
      <c r="D1002" t="s">
        <v>11</v>
      </c>
      <c r="E1002" t="s">
        <v>14</v>
      </c>
      <c r="F1002">
        <v>2023</v>
      </c>
      <c r="G1002" s="4">
        <v>20</v>
      </c>
      <c r="H1002">
        <v>49</v>
      </c>
      <c r="I1002">
        <f t="shared" si="15"/>
        <v>0</v>
      </c>
    </row>
    <row r="1003" spans="1:9" x14ac:dyDescent="0.3">
      <c r="A1003">
        <v>22</v>
      </c>
      <c r="B1003">
        <v>11</v>
      </c>
      <c r="C1003" s="4">
        <v>14</v>
      </c>
      <c r="D1003" t="s">
        <v>11</v>
      </c>
      <c r="E1003" t="s">
        <v>14</v>
      </c>
      <c r="F1003">
        <v>2023</v>
      </c>
      <c r="G1003" s="4">
        <v>20</v>
      </c>
      <c r="H1003">
        <v>49</v>
      </c>
      <c r="I1003">
        <f t="shared" si="15"/>
        <v>0</v>
      </c>
    </row>
    <row r="1004" spans="1:9" x14ac:dyDescent="0.3">
      <c r="A1004">
        <v>23</v>
      </c>
      <c r="B1004">
        <v>11</v>
      </c>
      <c r="C1004" s="4">
        <v>13</v>
      </c>
      <c r="D1004" t="s">
        <v>11</v>
      </c>
      <c r="E1004" t="s">
        <v>14</v>
      </c>
      <c r="F1004">
        <v>2023</v>
      </c>
      <c r="G1004" s="4">
        <v>18.571428571428569</v>
      </c>
      <c r="H1004">
        <v>49</v>
      </c>
      <c r="I1004">
        <f t="shared" si="15"/>
        <v>0</v>
      </c>
    </row>
    <row r="1005" spans="1:9" x14ac:dyDescent="0.3">
      <c r="A1005">
        <v>24</v>
      </c>
      <c r="B1005">
        <v>11</v>
      </c>
      <c r="C1005" s="4">
        <v>13</v>
      </c>
      <c r="D1005" t="s">
        <v>11</v>
      </c>
      <c r="E1005" t="s">
        <v>14</v>
      </c>
      <c r="F1005">
        <v>2023</v>
      </c>
      <c r="G1005" s="4">
        <v>18.571428571428569</v>
      </c>
      <c r="H1005">
        <v>49</v>
      </c>
      <c r="I1005">
        <f t="shared" si="15"/>
        <v>0</v>
      </c>
    </row>
    <row r="1006" spans="1:9" x14ac:dyDescent="0.3">
      <c r="A1006">
        <v>25</v>
      </c>
      <c r="B1006">
        <v>11</v>
      </c>
      <c r="C1006" s="4">
        <v>9</v>
      </c>
      <c r="D1006" t="s">
        <v>11</v>
      </c>
      <c r="E1006" t="s">
        <v>14</v>
      </c>
      <c r="F1006">
        <v>2023</v>
      </c>
      <c r="G1006" s="4">
        <v>12.857142857142859</v>
      </c>
      <c r="H1006">
        <v>49</v>
      </c>
      <c r="I1006">
        <f t="shared" si="15"/>
        <v>0</v>
      </c>
    </row>
    <row r="1007" spans="1:9" x14ac:dyDescent="0.3">
      <c r="A1007">
        <v>26</v>
      </c>
      <c r="B1007">
        <v>11</v>
      </c>
      <c r="C1007" s="4">
        <v>8</v>
      </c>
      <c r="D1007" t="s">
        <v>11</v>
      </c>
      <c r="E1007" t="s">
        <v>14</v>
      </c>
      <c r="F1007">
        <v>2023</v>
      </c>
      <c r="G1007" s="4">
        <v>11.428571428571431</v>
      </c>
      <c r="H1007">
        <v>49</v>
      </c>
      <c r="I1007">
        <f t="shared" si="15"/>
        <v>0</v>
      </c>
    </row>
    <row r="1008" spans="1:9" x14ac:dyDescent="0.3">
      <c r="A1008">
        <v>27</v>
      </c>
      <c r="B1008">
        <v>11</v>
      </c>
      <c r="C1008" s="4">
        <v>7</v>
      </c>
      <c r="D1008" t="s">
        <v>11</v>
      </c>
      <c r="E1008" t="s">
        <v>14</v>
      </c>
      <c r="F1008">
        <v>2023</v>
      </c>
      <c r="G1008" s="4">
        <v>10</v>
      </c>
      <c r="H1008">
        <v>49</v>
      </c>
      <c r="I1008">
        <f t="shared" si="15"/>
        <v>0</v>
      </c>
    </row>
    <row r="1009" spans="1:9" x14ac:dyDescent="0.3">
      <c r="A1009">
        <v>28</v>
      </c>
      <c r="B1009">
        <v>11</v>
      </c>
      <c r="C1009" s="4">
        <v>7</v>
      </c>
      <c r="D1009" t="s">
        <v>11</v>
      </c>
      <c r="E1009" t="s">
        <v>14</v>
      </c>
      <c r="F1009">
        <v>2023</v>
      </c>
      <c r="G1009" s="4">
        <v>10</v>
      </c>
      <c r="H1009">
        <v>49</v>
      </c>
      <c r="I1009">
        <f t="shared" si="15"/>
        <v>0</v>
      </c>
    </row>
    <row r="1010" spans="1:9" x14ac:dyDescent="0.3">
      <c r="A1010">
        <v>29</v>
      </c>
      <c r="B1010">
        <v>11</v>
      </c>
      <c r="C1010" s="4">
        <v>7</v>
      </c>
      <c r="D1010" t="s">
        <v>11</v>
      </c>
      <c r="E1010" t="s">
        <v>14</v>
      </c>
      <c r="F1010">
        <v>2023</v>
      </c>
      <c r="G1010" s="4">
        <v>10</v>
      </c>
      <c r="H1010">
        <v>49</v>
      </c>
      <c r="I1010">
        <f t="shared" si="15"/>
        <v>0</v>
      </c>
    </row>
    <row r="1011" spans="1:9" x14ac:dyDescent="0.3">
      <c r="A1011">
        <v>30</v>
      </c>
      <c r="B1011">
        <v>11</v>
      </c>
      <c r="C1011" s="4">
        <v>7</v>
      </c>
      <c r="D1011" t="s">
        <v>11</v>
      </c>
      <c r="E1011" t="s">
        <v>14</v>
      </c>
      <c r="F1011">
        <v>2023</v>
      </c>
      <c r="G1011" s="4">
        <v>10</v>
      </c>
      <c r="H1011">
        <v>49</v>
      </c>
      <c r="I1011">
        <f t="shared" si="15"/>
        <v>0</v>
      </c>
    </row>
    <row r="1012" spans="1:9" x14ac:dyDescent="0.3">
      <c r="A1012">
        <v>31</v>
      </c>
      <c r="B1012">
        <v>11</v>
      </c>
      <c r="C1012" s="4">
        <v>4</v>
      </c>
      <c r="D1012" t="s">
        <v>11</v>
      </c>
      <c r="E1012" t="s">
        <v>14</v>
      </c>
      <c r="F1012">
        <v>2023</v>
      </c>
      <c r="G1012" s="4">
        <v>5.7142857142857144</v>
      </c>
      <c r="H1012">
        <v>49</v>
      </c>
      <c r="I1012">
        <f t="shared" si="15"/>
        <v>0</v>
      </c>
    </row>
    <row r="1013" spans="1:9" x14ac:dyDescent="0.3">
      <c r="A1013">
        <v>32</v>
      </c>
      <c r="B1013">
        <v>11</v>
      </c>
      <c r="C1013" s="4">
        <v>3</v>
      </c>
      <c r="D1013" t="s">
        <v>11</v>
      </c>
      <c r="E1013" t="s">
        <v>14</v>
      </c>
      <c r="F1013">
        <v>2023</v>
      </c>
      <c r="G1013" s="4">
        <v>4.2857142857142856</v>
      </c>
      <c r="H1013">
        <v>49</v>
      </c>
      <c r="I1013">
        <f t="shared" si="15"/>
        <v>0</v>
      </c>
    </row>
    <row r="1014" spans="1:9" x14ac:dyDescent="0.3">
      <c r="A1014">
        <v>33</v>
      </c>
      <c r="B1014">
        <v>11</v>
      </c>
      <c r="C1014" s="4">
        <v>1</v>
      </c>
      <c r="D1014" t="s">
        <v>11</v>
      </c>
      <c r="E1014" t="s">
        <v>14</v>
      </c>
      <c r="F1014">
        <v>2023</v>
      </c>
      <c r="G1014" s="4">
        <v>1.428571428571429</v>
      </c>
      <c r="H1014">
        <v>49</v>
      </c>
      <c r="I1014">
        <f t="shared" si="15"/>
        <v>0</v>
      </c>
    </row>
    <row r="1015" spans="1:9" x14ac:dyDescent="0.3">
      <c r="A1015">
        <v>34</v>
      </c>
      <c r="B1015">
        <v>11</v>
      </c>
      <c r="C1015" s="4">
        <v>0</v>
      </c>
      <c r="D1015" t="s">
        <v>11</v>
      </c>
      <c r="E1015" t="s">
        <v>14</v>
      </c>
      <c r="F1015">
        <v>2023</v>
      </c>
      <c r="G1015" s="4">
        <v>0</v>
      </c>
      <c r="H1015">
        <v>49</v>
      </c>
      <c r="I1015">
        <f t="shared" si="15"/>
        <v>0</v>
      </c>
    </row>
    <row r="1016" spans="1:9" x14ac:dyDescent="0.3">
      <c r="A1016">
        <v>35</v>
      </c>
      <c r="B1016">
        <v>11</v>
      </c>
      <c r="C1016" s="4">
        <v>0</v>
      </c>
      <c r="D1016" t="s">
        <v>11</v>
      </c>
      <c r="E1016" t="s">
        <v>14</v>
      </c>
      <c r="F1016">
        <v>2023</v>
      </c>
      <c r="G1016" s="4">
        <v>0</v>
      </c>
      <c r="H1016">
        <v>49</v>
      </c>
      <c r="I1016">
        <f t="shared" si="15"/>
        <v>0</v>
      </c>
    </row>
    <row r="1017" spans="1:9" x14ac:dyDescent="0.3">
      <c r="A1017">
        <v>36</v>
      </c>
      <c r="B1017">
        <v>11</v>
      </c>
      <c r="C1017" s="4">
        <v>0</v>
      </c>
      <c r="D1017" t="s">
        <v>11</v>
      </c>
      <c r="E1017" t="s">
        <v>14</v>
      </c>
      <c r="F1017">
        <v>2023</v>
      </c>
      <c r="G1017" s="4">
        <v>0</v>
      </c>
      <c r="H1017">
        <v>49</v>
      </c>
      <c r="I1017">
        <f t="shared" si="15"/>
        <v>0</v>
      </c>
    </row>
    <row r="1018" spans="1:9" x14ac:dyDescent="0.3">
      <c r="A1018">
        <v>1</v>
      </c>
      <c r="B1018">
        <v>9</v>
      </c>
      <c r="C1018" s="4">
        <v>49</v>
      </c>
      <c r="D1018" t="s">
        <v>8</v>
      </c>
      <c r="E1018" t="s">
        <v>14</v>
      </c>
      <c r="F1018">
        <v>2024</v>
      </c>
      <c r="G1018" s="4">
        <v>70</v>
      </c>
      <c r="H1018">
        <v>51</v>
      </c>
      <c r="I1018">
        <f t="shared" si="15"/>
        <v>0</v>
      </c>
    </row>
    <row r="1019" spans="1:9" x14ac:dyDescent="0.3">
      <c r="A1019">
        <v>2</v>
      </c>
      <c r="B1019">
        <v>9</v>
      </c>
      <c r="C1019" s="4">
        <v>48</v>
      </c>
      <c r="D1019" t="s">
        <v>8</v>
      </c>
      <c r="E1019" t="s">
        <v>14</v>
      </c>
      <c r="F1019">
        <v>2024</v>
      </c>
      <c r="G1019" s="4">
        <v>68.571428571428569</v>
      </c>
      <c r="H1019">
        <v>51</v>
      </c>
      <c r="I1019">
        <f t="shared" si="15"/>
        <v>0</v>
      </c>
    </row>
    <row r="1020" spans="1:9" x14ac:dyDescent="0.3">
      <c r="A1020">
        <v>3</v>
      </c>
      <c r="B1020">
        <v>9</v>
      </c>
      <c r="C1020" s="4">
        <v>35</v>
      </c>
      <c r="D1020" t="s">
        <v>12</v>
      </c>
      <c r="E1020" t="s">
        <v>14</v>
      </c>
      <c r="F1020">
        <v>2024</v>
      </c>
      <c r="G1020" s="4">
        <v>50</v>
      </c>
      <c r="H1020">
        <v>51</v>
      </c>
      <c r="I1020">
        <f t="shared" si="15"/>
        <v>0</v>
      </c>
    </row>
    <row r="1021" spans="1:9" x14ac:dyDescent="0.3">
      <c r="A1021">
        <v>4</v>
      </c>
      <c r="B1021">
        <v>9</v>
      </c>
      <c r="C1021" s="4">
        <v>35</v>
      </c>
      <c r="D1021" t="s">
        <v>12</v>
      </c>
      <c r="E1021" t="s">
        <v>14</v>
      </c>
      <c r="F1021">
        <v>2024</v>
      </c>
      <c r="G1021" s="4">
        <v>50</v>
      </c>
      <c r="H1021">
        <v>51</v>
      </c>
      <c r="I1021">
        <f t="shared" si="15"/>
        <v>0</v>
      </c>
    </row>
    <row r="1022" spans="1:9" x14ac:dyDescent="0.3">
      <c r="A1022">
        <v>5</v>
      </c>
      <c r="B1022">
        <v>9</v>
      </c>
      <c r="C1022" s="4">
        <v>29</v>
      </c>
      <c r="D1022" t="s">
        <v>12</v>
      </c>
      <c r="E1022" t="s">
        <v>14</v>
      </c>
      <c r="F1022">
        <v>2024</v>
      </c>
      <c r="G1022" s="4">
        <v>41.428571428571431</v>
      </c>
      <c r="H1022">
        <v>51</v>
      </c>
      <c r="I1022">
        <f t="shared" si="15"/>
        <v>0</v>
      </c>
    </row>
    <row r="1023" spans="1:9" x14ac:dyDescent="0.3">
      <c r="A1023">
        <v>6</v>
      </c>
      <c r="B1023">
        <v>9</v>
      </c>
      <c r="C1023" s="4">
        <v>28</v>
      </c>
      <c r="D1023" t="s">
        <v>12</v>
      </c>
      <c r="E1023" t="s">
        <v>14</v>
      </c>
      <c r="F1023">
        <v>2024</v>
      </c>
      <c r="G1023" s="4">
        <v>40</v>
      </c>
      <c r="H1023">
        <v>51</v>
      </c>
      <c r="I1023">
        <f t="shared" si="15"/>
        <v>0</v>
      </c>
    </row>
    <row r="1024" spans="1:9" x14ac:dyDescent="0.3">
      <c r="A1024">
        <v>7</v>
      </c>
      <c r="B1024">
        <v>9</v>
      </c>
      <c r="C1024" s="4">
        <v>26</v>
      </c>
      <c r="D1024" t="s">
        <v>12</v>
      </c>
      <c r="E1024" t="s">
        <v>14</v>
      </c>
      <c r="F1024">
        <v>2024</v>
      </c>
      <c r="G1024" s="4">
        <v>37.142857142857153</v>
      </c>
      <c r="H1024">
        <v>51</v>
      </c>
      <c r="I1024">
        <f t="shared" si="15"/>
        <v>0</v>
      </c>
    </row>
    <row r="1025" spans="1:9" x14ac:dyDescent="0.3">
      <c r="A1025">
        <v>8</v>
      </c>
      <c r="B1025">
        <v>9</v>
      </c>
      <c r="C1025" s="4">
        <v>23</v>
      </c>
      <c r="D1025" t="s">
        <v>11</v>
      </c>
      <c r="E1025" t="s">
        <v>14</v>
      </c>
      <c r="F1025">
        <v>2024</v>
      </c>
      <c r="G1025" s="4">
        <v>32.857142857142847</v>
      </c>
      <c r="H1025">
        <v>51</v>
      </c>
      <c r="I1025">
        <f t="shared" si="15"/>
        <v>0</v>
      </c>
    </row>
    <row r="1026" spans="1:9" x14ac:dyDescent="0.3">
      <c r="A1026">
        <v>9</v>
      </c>
      <c r="B1026">
        <v>9</v>
      </c>
      <c r="C1026" s="4">
        <v>23</v>
      </c>
      <c r="D1026" t="s">
        <v>11</v>
      </c>
      <c r="E1026" t="s">
        <v>14</v>
      </c>
      <c r="F1026">
        <v>2024</v>
      </c>
      <c r="G1026" s="4">
        <v>32.857142857142847</v>
      </c>
      <c r="H1026">
        <v>51</v>
      </c>
      <c r="I1026">
        <f t="shared" si="15"/>
        <v>0</v>
      </c>
    </row>
    <row r="1027" spans="1:9" x14ac:dyDescent="0.3">
      <c r="A1027">
        <v>10</v>
      </c>
      <c r="B1027">
        <v>9</v>
      </c>
      <c r="C1027" s="4">
        <v>22</v>
      </c>
      <c r="D1027" t="s">
        <v>11</v>
      </c>
      <c r="E1027" t="s">
        <v>14</v>
      </c>
      <c r="F1027">
        <v>2024</v>
      </c>
      <c r="G1027" s="4">
        <v>31.428571428571431</v>
      </c>
      <c r="H1027">
        <v>51</v>
      </c>
      <c r="I1027">
        <f t="shared" ref="I1027:I1090" si="16">IF(C1027&gt;=H1027,1,0)</f>
        <v>0</v>
      </c>
    </row>
    <row r="1028" spans="1:9" x14ac:dyDescent="0.3">
      <c r="A1028">
        <v>11</v>
      </c>
      <c r="B1028">
        <v>9</v>
      </c>
      <c r="C1028" s="4">
        <v>21</v>
      </c>
      <c r="D1028" t="s">
        <v>11</v>
      </c>
      <c r="E1028" t="s">
        <v>14</v>
      </c>
      <c r="F1028">
        <v>2024</v>
      </c>
      <c r="G1028" s="4">
        <v>30</v>
      </c>
      <c r="H1028">
        <v>51</v>
      </c>
      <c r="I1028">
        <f t="shared" si="16"/>
        <v>0</v>
      </c>
    </row>
    <row r="1029" spans="1:9" x14ac:dyDescent="0.3">
      <c r="A1029">
        <v>12</v>
      </c>
      <c r="B1029">
        <v>9</v>
      </c>
      <c r="C1029" s="4">
        <v>20</v>
      </c>
      <c r="D1029" t="s">
        <v>11</v>
      </c>
      <c r="E1029" t="s">
        <v>14</v>
      </c>
      <c r="F1029">
        <v>2024</v>
      </c>
      <c r="G1029" s="4">
        <v>28.571428571428569</v>
      </c>
      <c r="H1029">
        <v>51</v>
      </c>
      <c r="I1029">
        <f t="shared" si="16"/>
        <v>0</v>
      </c>
    </row>
    <row r="1030" spans="1:9" x14ac:dyDescent="0.3">
      <c r="A1030">
        <v>13</v>
      </c>
      <c r="B1030">
        <v>9</v>
      </c>
      <c r="C1030" s="4">
        <v>17</v>
      </c>
      <c r="D1030" t="s">
        <v>11</v>
      </c>
      <c r="E1030" t="s">
        <v>14</v>
      </c>
      <c r="F1030">
        <v>2024</v>
      </c>
      <c r="G1030" s="4">
        <v>24.285714285714281</v>
      </c>
      <c r="H1030">
        <v>51</v>
      </c>
      <c r="I1030">
        <f t="shared" si="16"/>
        <v>0</v>
      </c>
    </row>
    <row r="1031" spans="1:9" x14ac:dyDescent="0.3">
      <c r="A1031">
        <v>14</v>
      </c>
      <c r="B1031">
        <v>9</v>
      </c>
      <c r="C1031" s="4">
        <v>14</v>
      </c>
      <c r="D1031" t="s">
        <v>11</v>
      </c>
      <c r="E1031" t="s">
        <v>14</v>
      </c>
      <c r="F1031">
        <v>2024</v>
      </c>
      <c r="G1031" s="4">
        <v>20</v>
      </c>
      <c r="H1031">
        <v>51</v>
      </c>
      <c r="I1031">
        <f t="shared" si="16"/>
        <v>0</v>
      </c>
    </row>
    <row r="1032" spans="1:9" x14ac:dyDescent="0.3">
      <c r="A1032">
        <v>15</v>
      </c>
      <c r="B1032">
        <v>9</v>
      </c>
      <c r="C1032" s="4">
        <v>8</v>
      </c>
      <c r="D1032" t="s">
        <v>11</v>
      </c>
      <c r="E1032" t="s">
        <v>14</v>
      </c>
      <c r="F1032">
        <v>2024</v>
      </c>
      <c r="G1032" s="4">
        <v>11.428571428571431</v>
      </c>
      <c r="H1032">
        <v>51</v>
      </c>
      <c r="I1032">
        <f t="shared" si="16"/>
        <v>0</v>
      </c>
    </row>
    <row r="1033" spans="1:9" x14ac:dyDescent="0.3">
      <c r="A1033">
        <v>16</v>
      </c>
      <c r="B1033">
        <v>9</v>
      </c>
      <c r="C1033" s="4">
        <v>7</v>
      </c>
      <c r="D1033" t="s">
        <v>11</v>
      </c>
      <c r="E1033" t="s">
        <v>14</v>
      </c>
      <c r="F1033">
        <v>2024</v>
      </c>
      <c r="G1033" s="4">
        <v>10</v>
      </c>
      <c r="H1033">
        <v>51</v>
      </c>
      <c r="I1033">
        <f t="shared" si="16"/>
        <v>0</v>
      </c>
    </row>
    <row r="1034" spans="1:9" x14ac:dyDescent="0.3">
      <c r="A1034">
        <v>17</v>
      </c>
      <c r="B1034">
        <v>9</v>
      </c>
      <c r="C1034" s="4">
        <v>7</v>
      </c>
      <c r="D1034" t="s">
        <v>11</v>
      </c>
      <c r="E1034" t="s">
        <v>14</v>
      </c>
      <c r="F1034">
        <v>2024</v>
      </c>
      <c r="G1034" s="4">
        <v>10</v>
      </c>
      <c r="H1034">
        <v>51</v>
      </c>
      <c r="I1034">
        <f t="shared" si="16"/>
        <v>0</v>
      </c>
    </row>
    <row r="1035" spans="1:9" x14ac:dyDescent="0.3">
      <c r="A1035">
        <v>18</v>
      </c>
      <c r="B1035">
        <v>9</v>
      </c>
      <c r="C1035" s="4">
        <v>6</v>
      </c>
      <c r="D1035" t="s">
        <v>11</v>
      </c>
      <c r="E1035" t="s">
        <v>14</v>
      </c>
      <c r="F1035">
        <v>2024</v>
      </c>
      <c r="G1035" s="4">
        <v>8.5714285714285712</v>
      </c>
      <c r="H1035">
        <v>51</v>
      </c>
      <c r="I1035">
        <f t="shared" si="16"/>
        <v>0</v>
      </c>
    </row>
    <row r="1036" spans="1:9" x14ac:dyDescent="0.3">
      <c r="A1036">
        <v>19</v>
      </c>
      <c r="B1036">
        <v>9</v>
      </c>
      <c r="C1036" s="4">
        <v>5</v>
      </c>
      <c r="D1036" t="s">
        <v>11</v>
      </c>
      <c r="E1036" t="s">
        <v>14</v>
      </c>
      <c r="F1036">
        <v>2024</v>
      </c>
      <c r="G1036" s="4">
        <v>7.1428571428571423</v>
      </c>
      <c r="H1036">
        <v>51</v>
      </c>
      <c r="I1036">
        <f t="shared" si="16"/>
        <v>0</v>
      </c>
    </row>
    <row r="1037" spans="1:9" x14ac:dyDescent="0.3">
      <c r="A1037">
        <v>20</v>
      </c>
      <c r="B1037">
        <v>9</v>
      </c>
      <c r="C1037" s="4">
        <v>4</v>
      </c>
      <c r="D1037" t="s">
        <v>11</v>
      </c>
      <c r="E1037" t="s">
        <v>14</v>
      </c>
      <c r="F1037">
        <v>2024</v>
      </c>
      <c r="G1037" s="4">
        <v>5.7142857142857144</v>
      </c>
      <c r="H1037">
        <v>51</v>
      </c>
      <c r="I1037">
        <f t="shared" si="16"/>
        <v>0</v>
      </c>
    </row>
    <row r="1038" spans="1:9" x14ac:dyDescent="0.3">
      <c r="A1038">
        <v>21</v>
      </c>
      <c r="B1038">
        <v>9</v>
      </c>
      <c r="C1038" s="4">
        <v>2</v>
      </c>
      <c r="D1038" t="s">
        <v>11</v>
      </c>
      <c r="E1038" t="s">
        <v>14</v>
      </c>
      <c r="F1038">
        <v>2024</v>
      </c>
      <c r="G1038" s="4">
        <v>2.8571428571428572</v>
      </c>
      <c r="H1038">
        <v>51</v>
      </c>
      <c r="I1038">
        <f t="shared" si="16"/>
        <v>0</v>
      </c>
    </row>
    <row r="1039" spans="1:9" x14ac:dyDescent="0.3">
      <c r="A1039">
        <v>22</v>
      </c>
      <c r="B1039">
        <v>9</v>
      </c>
      <c r="C1039" s="4">
        <v>1</v>
      </c>
      <c r="D1039" t="s">
        <v>11</v>
      </c>
      <c r="E1039" t="s">
        <v>14</v>
      </c>
      <c r="F1039">
        <v>2024</v>
      </c>
      <c r="G1039" s="4">
        <v>1.428571428571429</v>
      </c>
      <c r="H1039">
        <v>51</v>
      </c>
      <c r="I1039">
        <f t="shared" si="16"/>
        <v>0</v>
      </c>
    </row>
    <row r="1040" spans="1:9" x14ac:dyDescent="0.3">
      <c r="A1040">
        <v>23</v>
      </c>
      <c r="B1040">
        <v>9</v>
      </c>
      <c r="C1040" s="4">
        <v>1</v>
      </c>
      <c r="D1040" t="s">
        <v>11</v>
      </c>
      <c r="E1040" t="s">
        <v>14</v>
      </c>
      <c r="F1040">
        <v>2024</v>
      </c>
      <c r="G1040" s="4">
        <v>1.428571428571429</v>
      </c>
      <c r="H1040">
        <v>51</v>
      </c>
      <c r="I1040">
        <f t="shared" si="16"/>
        <v>0</v>
      </c>
    </row>
    <row r="1041" spans="1:9" x14ac:dyDescent="0.3">
      <c r="A1041">
        <v>24</v>
      </c>
      <c r="B1041">
        <v>9</v>
      </c>
      <c r="C1041" s="4">
        <v>0</v>
      </c>
      <c r="D1041" t="s">
        <v>11</v>
      </c>
      <c r="E1041" t="s">
        <v>14</v>
      </c>
      <c r="F1041">
        <v>2024</v>
      </c>
      <c r="G1041" s="4">
        <v>0</v>
      </c>
      <c r="H1041">
        <v>51</v>
      </c>
      <c r="I1041">
        <f t="shared" si="16"/>
        <v>0</v>
      </c>
    </row>
    <row r="1042" spans="1:9" x14ac:dyDescent="0.3">
      <c r="A1042">
        <v>25</v>
      </c>
      <c r="B1042">
        <v>9</v>
      </c>
      <c r="C1042" s="4">
        <v>0</v>
      </c>
      <c r="D1042" t="s">
        <v>11</v>
      </c>
      <c r="E1042" t="s">
        <v>14</v>
      </c>
      <c r="F1042">
        <v>2024</v>
      </c>
      <c r="G1042" s="4">
        <v>0</v>
      </c>
      <c r="H1042">
        <v>51</v>
      </c>
      <c r="I1042">
        <f t="shared" si="16"/>
        <v>0</v>
      </c>
    </row>
    <row r="1043" spans="1:9" x14ac:dyDescent="0.3">
      <c r="A1043">
        <v>26</v>
      </c>
      <c r="B1043">
        <v>9</v>
      </c>
      <c r="C1043" s="4">
        <v>0</v>
      </c>
      <c r="D1043" t="s">
        <v>11</v>
      </c>
      <c r="E1043" t="s">
        <v>14</v>
      </c>
      <c r="F1043">
        <v>2024</v>
      </c>
      <c r="G1043" s="4">
        <v>0</v>
      </c>
      <c r="H1043">
        <v>51</v>
      </c>
      <c r="I1043">
        <f t="shared" si="16"/>
        <v>0</v>
      </c>
    </row>
    <row r="1044" spans="1:9" x14ac:dyDescent="0.3">
      <c r="A1044">
        <v>27</v>
      </c>
      <c r="B1044">
        <v>9</v>
      </c>
      <c r="C1044" s="4">
        <v>0</v>
      </c>
      <c r="D1044" t="s">
        <v>11</v>
      </c>
      <c r="E1044" t="s">
        <v>14</v>
      </c>
      <c r="F1044">
        <v>2024</v>
      </c>
      <c r="G1044" s="4">
        <v>0</v>
      </c>
      <c r="H1044">
        <v>51</v>
      </c>
      <c r="I1044">
        <f t="shared" si="16"/>
        <v>0</v>
      </c>
    </row>
    <row r="1045" spans="1:9" x14ac:dyDescent="0.3">
      <c r="A1045">
        <v>28</v>
      </c>
      <c r="B1045">
        <v>9</v>
      </c>
      <c r="C1045" s="4">
        <v>0</v>
      </c>
      <c r="D1045" t="s">
        <v>11</v>
      </c>
      <c r="E1045" t="s">
        <v>14</v>
      </c>
      <c r="F1045">
        <v>2024</v>
      </c>
      <c r="G1045" s="4">
        <v>0</v>
      </c>
      <c r="H1045">
        <v>51</v>
      </c>
      <c r="I1045">
        <f t="shared" si="16"/>
        <v>0</v>
      </c>
    </row>
    <row r="1046" spans="1:9" x14ac:dyDescent="0.3">
      <c r="A1046">
        <v>29</v>
      </c>
      <c r="B1046">
        <v>9</v>
      </c>
      <c r="C1046" s="4">
        <v>0</v>
      </c>
      <c r="D1046" t="s">
        <v>11</v>
      </c>
      <c r="E1046" t="s">
        <v>14</v>
      </c>
      <c r="F1046">
        <v>2024</v>
      </c>
      <c r="G1046" s="4">
        <v>0</v>
      </c>
      <c r="H1046">
        <v>51</v>
      </c>
      <c r="I1046">
        <f t="shared" si="16"/>
        <v>0</v>
      </c>
    </row>
    <row r="1047" spans="1:9" x14ac:dyDescent="0.3">
      <c r="A1047">
        <v>30</v>
      </c>
      <c r="B1047">
        <v>9</v>
      </c>
      <c r="C1047" s="4">
        <v>0</v>
      </c>
      <c r="D1047" t="s">
        <v>11</v>
      </c>
      <c r="E1047" t="s">
        <v>14</v>
      </c>
      <c r="F1047">
        <v>2024</v>
      </c>
      <c r="G1047" s="4">
        <v>0</v>
      </c>
      <c r="H1047">
        <v>51</v>
      </c>
      <c r="I1047">
        <f t="shared" si="16"/>
        <v>0</v>
      </c>
    </row>
    <row r="1048" spans="1:9" x14ac:dyDescent="0.3">
      <c r="A1048">
        <v>31</v>
      </c>
      <c r="B1048">
        <v>9</v>
      </c>
      <c r="C1048" s="4">
        <v>0</v>
      </c>
      <c r="D1048" t="s">
        <v>11</v>
      </c>
      <c r="E1048" t="s">
        <v>14</v>
      </c>
      <c r="F1048">
        <v>2024</v>
      </c>
      <c r="G1048" s="4">
        <v>0</v>
      </c>
      <c r="H1048">
        <v>51</v>
      </c>
      <c r="I1048">
        <f t="shared" si="16"/>
        <v>0</v>
      </c>
    </row>
    <row r="1049" spans="1:9" x14ac:dyDescent="0.3">
      <c r="A1049">
        <v>32</v>
      </c>
      <c r="B1049">
        <v>9</v>
      </c>
      <c r="C1049" s="4">
        <v>0</v>
      </c>
      <c r="D1049" t="s">
        <v>11</v>
      </c>
      <c r="E1049" t="s">
        <v>14</v>
      </c>
      <c r="F1049">
        <v>2024</v>
      </c>
      <c r="G1049" s="4">
        <v>0</v>
      </c>
      <c r="H1049">
        <v>51</v>
      </c>
      <c r="I1049">
        <f t="shared" si="16"/>
        <v>0</v>
      </c>
    </row>
    <row r="1050" spans="1:9" x14ac:dyDescent="0.3">
      <c r="A1050">
        <v>33</v>
      </c>
      <c r="B1050">
        <v>9</v>
      </c>
      <c r="C1050" s="4">
        <v>0</v>
      </c>
      <c r="D1050" t="s">
        <v>11</v>
      </c>
      <c r="E1050" t="s">
        <v>14</v>
      </c>
      <c r="F1050">
        <v>2024</v>
      </c>
      <c r="G1050" s="4">
        <v>0</v>
      </c>
      <c r="H1050">
        <v>51</v>
      </c>
      <c r="I1050">
        <f t="shared" si="16"/>
        <v>0</v>
      </c>
    </row>
    <row r="1051" spans="1:9" x14ac:dyDescent="0.3">
      <c r="A1051">
        <v>34</v>
      </c>
      <c r="B1051">
        <v>9</v>
      </c>
      <c r="C1051" s="4">
        <v>0</v>
      </c>
      <c r="D1051" t="s">
        <v>11</v>
      </c>
      <c r="E1051" t="s">
        <v>14</v>
      </c>
      <c r="F1051">
        <v>2024</v>
      </c>
      <c r="G1051" s="4">
        <v>0</v>
      </c>
      <c r="H1051">
        <v>51</v>
      </c>
      <c r="I1051">
        <f t="shared" si="16"/>
        <v>0</v>
      </c>
    </row>
    <row r="1052" spans="1:9" x14ac:dyDescent="0.3">
      <c r="A1052">
        <v>1</v>
      </c>
      <c r="B1052">
        <v>10</v>
      </c>
      <c r="C1052" s="4">
        <v>56</v>
      </c>
      <c r="D1052" t="s">
        <v>8</v>
      </c>
      <c r="E1052" t="s">
        <v>14</v>
      </c>
      <c r="F1052">
        <v>2024</v>
      </c>
      <c r="G1052" s="4">
        <v>80</v>
      </c>
      <c r="H1052">
        <v>50</v>
      </c>
      <c r="I1052">
        <f t="shared" si="16"/>
        <v>1</v>
      </c>
    </row>
    <row r="1053" spans="1:9" x14ac:dyDescent="0.3">
      <c r="A1053">
        <v>2</v>
      </c>
      <c r="B1053">
        <v>10</v>
      </c>
      <c r="C1053" s="4">
        <v>44</v>
      </c>
      <c r="D1053" t="s">
        <v>8</v>
      </c>
      <c r="E1053" t="s">
        <v>14</v>
      </c>
      <c r="F1053">
        <v>2024</v>
      </c>
      <c r="G1053" s="4">
        <v>62.857142857142847</v>
      </c>
      <c r="H1053">
        <v>50</v>
      </c>
      <c r="I1053">
        <f t="shared" si="16"/>
        <v>0</v>
      </c>
    </row>
    <row r="1054" spans="1:9" x14ac:dyDescent="0.3">
      <c r="A1054">
        <v>3</v>
      </c>
      <c r="B1054">
        <v>10</v>
      </c>
      <c r="C1054" s="4">
        <v>43</v>
      </c>
      <c r="D1054" t="s">
        <v>12</v>
      </c>
      <c r="E1054" t="s">
        <v>14</v>
      </c>
      <c r="F1054">
        <v>2024</v>
      </c>
      <c r="G1054" s="4">
        <v>61.428571428571431</v>
      </c>
      <c r="H1054">
        <v>50</v>
      </c>
      <c r="I1054">
        <f t="shared" si="16"/>
        <v>0</v>
      </c>
    </row>
    <row r="1055" spans="1:9" x14ac:dyDescent="0.3">
      <c r="A1055">
        <v>4</v>
      </c>
      <c r="B1055">
        <v>10</v>
      </c>
      <c r="C1055" s="4">
        <v>38</v>
      </c>
      <c r="D1055" t="s">
        <v>12</v>
      </c>
      <c r="E1055" t="s">
        <v>14</v>
      </c>
      <c r="F1055">
        <v>2024</v>
      </c>
      <c r="G1055" s="4">
        <v>54.285714285714278</v>
      </c>
      <c r="H1055">
        <v>50</v>
      </c>
      <c r="I1055">
        <f t="shared" si="16"/>
        <v>0</v>
      </c>
    </row>
    <row r="1056" spans="1:9" x14ac:dyDescent="0.3">
      <c r="A1056">
        <v>5</v>
      </c>
      <c r="B1056">
        <v>10</v>
      </c>
      <c r="C1056" s="4">
        <v>36</v>
      </c>
      <c r="D1056" t="s">
        <v>12</v>
      </c>
      <c r="E1056" t="s">
        <v>14</v>
      </c>
      <c r="F1056">
        <v>2024</v>
      </c>
      <c r="G1056" s="4">
        <v>51.428571428571423</v>
      </c>
      <c r="H1056">
        <v>50</v>
      </c>
      <c r="I1056">
        <f t="shared" si="16"/>
        <v>0</v>
      </c>
    </row>
    <row r="1057" spans="1:9" x14ac:dyDescent="0.3">
      <c r="A1057">
        <v>6</v>
      </c>
      <c r="B1057">
        <v>10</v>
      </c>
      <c r="C1057" s="4">
        <v>35</v>
      </c>
      <c r="D1057" t="s">
        <v>12</v>
      </c>
      <c r="E1057" t="s">
        <v>14</v>
      </c>
      <c r="F1057">
        <v>2024</v>
      </c>
      <c r="G1057" s="4">
        <v>50</v>
      </c>
      <c r="H1057">
        <v>50</v>
      </c>
      <c r="I1057">
        <f t="shared" si="16"/>
        <v>0</v>
      </c>
    </row>
    <row r="1058" spans="1:9" x14ac:dyDescent="0.3">
      <c r="A1058">
        <v>7</v>
      </c>
      <c r="B1058">
        <v>10</v>
      </c>
      <c r="C1058" s="4">
        <v>35</v>
      </c>
      <c r="D1058" t="s">
        <v>12</v>
      </c>
      <c r="E1058" t="s">
        <v>14</v>
      </c>
      <c r="F1058">
        <v>2024</v>
      </c>
      <c r="G1058" s="4">
        <v>50</v>
      </c>
      <c r="H1058">
        <v>50</v>
      </c>
      <c r="I1058">
        <f t="shared" si="16"/>
        <v>0</v>
      </c>
    </row>
    <row r="1059" spans="1:9" x14ac:dyDescent="0.3">
      <c r="A1059">
        <v>8</v>
      </c>
      <c r="B1059">
        <v>10</v>
      </c>
      <c r="C1059" s="4">
        <v>34</v>
      </c>
      <c r="D1059" t="s">
        <v>12</v>
      </c>
      <c r="E1059" t="s">
        <v>14</v>
      </c>
      <c r="F1059">
        <v>2024</v>
      </c>
      <c r="G1059" s="4">
        <v>48.571428571428569</v>
      </c>
      <c r="H1059">
        <v>50</v>
      </c>
      <c r="I1059">
        <f t="shared" si="16"/>
        <v>0</v>
      </c>
    </row>
    <row r="1060" spans="1:9" x14ac:dyDescent="0.3">
      <c r="A1060">
        <v>9</v>
      </c>
      <c r="B1060">
        <v>10</v>
      </c>
      <c r="C1060" s="4">
        <v>33</v>
      </c>
      <c r="D1060" t="s">
        <v>12</v>
      </c>
      <c r="E1060" t="s">
        <v>14</v>
      </c>
      <c r="F1060">
        <v>2024</v>
      </c>
      <c r="G1060" s="4">
        <v>47.142857142857139</v>
      </c>
      <c r="H1060">
        <v>50</v>
      </c>
      <c r="I1060">
        <f t="shared" si="16"/>
        <v>0</v>
      </c>
    </row>
    <row r="1061" spans="1:9" x14ac:dyDescent="0.3">
      <c r="A1061">
        <v>10</v>
      </c>
      <c r="B1061">
        <v>10</v>
      </c>
      <c r="C1061" s="4">
        <v>32</v>
      </c>
      <c r="D1061" t="s">
        <v>12</v>
      </c>
      <c r="E1061" t="s">
        <v>14</v>
      </c>
      <c r="F1061">
        <v>2024</v>
      </c>
      <c r="G1061" s="4">
        <v>45.714285714285722</v>
      </c>
      <c r="H1061">
        <v>50</v>
      </c>
      <c r="I1061">
        <f t="shared" si="16"/>
        <v>0</v>
      </c>
    </row>
    <row r="1062" spans="1:9" x14ac:dyDescent="0.3">
      <c r="A1062">
        <v>11</v>
      </c>
      <c r="B1062">
        <v>10</v>
      </c>
      <c r="C1062" s="4">
        <v>32</v>
      </c>
      <c r="D1062" t="s">
        <v>12</v>
      </c>
      <c r="E1062" t="s">
        <v>14</v>
      </c>
      <c r="F1062">
        <v>2024</v>
      </c>
      <c r="G1062" s="4">
        <v>45.714285714285722</v>
      </c>
      <c r="H1062">
        <v>50</v>
      </c>
      <c r="I1062">
        <f t="shared" si="16"/>
        <v>0</v>
      </c>
    </row>
    <row r="1063" spans="1:9" x14ac:dyDescent="0.3">
      <c r="A1063">
        <v>12</v>
      </c>
      <c r="B1063">
        <v>10</v>
      </c>
      <c r="C1063" s="4">
        <v>30</v>
      </c>
      <c r="D1063" t="s">
        <v>12</v>
      </c>
      <c r="E1063" t="s">
        <v>14</v>
      </c>
      <c r="F1063">
        <v>2024</v>
      </c>
      <c r="G1063" s="4">
        <v>42.857142857142847</v>
      </c>
      <c r="H1063">
        <v>50</v>
      </c>
      <c r="I1063">
        <f t="shared" si="16"/>
        <v>0</v>
      </c>
    </row>
    <row r="1064" spans="1:9" x14ac:dyDescent="0.3">
      <c r="A1064">
        <v>13</v>
      </c>
      <c r="B1064">
        <v>10</v>
      </c>
      <c r="C1064" s="4">
        <v>30</v>
      </c>
      <c r="D1064" t="s">
        <v>12</v>
      </c>
      <c r="E1064" t="s">
        <v>14</v>
      </c>
      <c r="F1064">
        <v>2024</v>
      </c>
      <c r="G1064" s="4">
        <v>42.857142857142847</v>
      </c>
      <c r="H1064">
        <v>50</v>
      </c>
      <c r="I1064">
        <f t="shared" si="16"/>
        <v>0</v>
      </c>
    </row>
    <row r="1065" spans="1:9" x14ac:dyDescent="0.3">
      <c r="A1065">
        <v>14</v>
      </c>
      <c r="B1065">
        <v>10</v>
      </c>
      <c r="C1065" s="4">
        <v>28</v>
      </c>
      <c r="D1065" t="s">
        <v>11</v>
      </c>
      <c r="E1065" t="s">
        <v>14</v>
      </c>
      <c r="F1065">
        <v>2024</v>
      </c>
      <c r="G1065" s="4">
        <v>40</v>
      </c>
      <c r="H1065">
        <v>50</v>
      </c>
      <c r="I1065">
        <f t="shared" si="16"/>
        <v>0</v>
      </c>
    </row>
    <row r="1066" spans="1:9" x14ac:dyDescent="0.3">
      <c r="A1066">
        <v>15</v>
      </c>
      <c r="B1066">
        <v>10</v>
      </c>
      <c r="C1066" s="4">
        <v>25</v>
      </c>
      <c r="D1066" t="s">
        <v>11</v>
      </c>
      <c r="E1066" t="s">
        <v>14</v>
      </c>
      <c r="F1066">
        <v>2024</v>
      </c>
      <c r="G1066" s="4">
        <v>35.714285714285722</v>
      </c>
      <c r="H1066">
        <v>50</v>
      </c>
      <c r="I1066">
        <f t="shared" si="16"/>
        <v>0</v>
      </c>
    </row>
    <row r="1067" spans="1:9" x14ac:dyDescent="0.3">
      <c r="A1067">
        <v>16</v>
      </c>
      <c r="B1067">
        <v>10</v>
      </c>
      <c r="C1067" s="4">
        <v>22</v>
      </c>
      <c r="D1067" t="s">
        <v>11</v>
      </c>
      <c r="E1067" t="s">
        <v>14</v>
      </c>
      <c r="F1067">
        <v>2024</v>
      </c>
      <c r="G1067" s="4">
        <v>31.428571428571431</v>
      </c>
      <c r="H1067">
        <v>50</v>
      </c>
      <c r="I1067">
        <f t="shared" si="16"/>
        <v>0</v>
      </c>
    </row>
    <row r="1068" spans="1:9" x14ac:dyDescent="0.3">
      <c r="A1068">
        <v>17</v>
      </c>
      <c r="B1068">
        <v>10</v>
      </c>
      <c r="C1068" s="4">
        <v>22</v>
      </c>
      <c r="D1068" t="s">
        <v>11</v>
      </c>
      <c r="E1068" t="s">
        <v>14</v>
      </c>
      <c r="F1068">
        <v>2024</v>
      </c>
      <c r="G1068" s="4">
        <v>31.428571428571431</v>
      </c>
      <c r="H1068">
        <v>50</v>
      </c>
      <c r="I1068">
        <f t="shared" si="16"/>
        <v>0</v>
      </c>
    </row>
    <row r="1069" spans="1:9" x14ac:dyDescent="0.3">
      <c r="A1069">
        <v>18</v>
      </c>
      <c r="B1069">
        <v>10</v>
      </c>
      <c r="C1069" s="4">
        <v>21</v>
      </c>
      <c r="D1069" t="s">
        <v>11</v>
      </c>
      <c r="E1069" t="s">
        <v>14</v>
      </c>
      <c r="F1069">
        <v>2024</v>
      </c>
      <c r="G1069" s="4">
        <v>30</v>
      </c>
      <c r="H1069">
        <v>50</v>
      </c>
      <c r="I1069">
        <f t="shared" si="16"/>
        <v>0</v>
      </c>
    </row>
    <row r="1070" spans="1:9" x14ac:dyDescent="0.3">
      <c r="A1070">
        <v>19</v>
      </c>
      <c r="B1070">
        <v>10</v>
      </c>
      <c r="C1070" s="4">
        <v>21</v>
      </c>
      <c r="D1070" t="s">
        <v>11</v>
      </c>
      <c r="E1070" t="s">
        <v>14</v>
      </c>
      <c r="F1070">
        <v>2024</v>
      </c>
      <c r="G1070" s="4">
        <v>30</v>
      </c>
      <c r="H1070">
        <v>50</v>
      </c>
      <c r="I1070">
        <f t="shared" si="16"/>
        <v>0</v>
      </c>
    </row>
    <row r="1071" spans="1:9" x14ac:dyDescent="0.3">
      <c r="A1071">
        <v>20</v>
      </c>
      <c r="B1071">
        <v>10</v>
      </c>
      <c r="C1071" s="4">
        <v>21</v>
      </c>
      <c r="D1071" t="s">
        <v>11</v>
      </c>
      <c r="E1071" t="s">
        <v>14</v>
      </c>
      <c r="F1071">
        <v>2024</v>
      </c>
      <c r="G1071" s="4">
        <v>30</v>
      </c>
      <c r="H1071">
        <v>50</v>
      </c>
      <c r="I1071">
        <f t="shared" si="16"/>
        <v>0</v>
      </c>
    </row>
    <row r="1072" spans="1:9" x14ac:dyDescent="0.3">
      <c r="A1072">
        <v>21</v>
      </c>
      <c r="B1072">
        <v>10</v>
      </c>
      <c r="C1072" s="4">
        <v>21</v>
      </c>
      <c r="D1072" t="s">
        <v>11</v>
      </c>
      <c r="E1072" t="s">
        <v>14</v>
      </c>
      <c r="F1072">
        <v>2024</v>
      </c>
      <c r="G1072" s="4">
        <v>30</v>
      </c>
      <c r="H1072">
        <v>50</v>
      </c>
      <c r="I1072">
        <f t="shared" si="16"/>
        <v>0</v>
      </c>
    </row>
    <row r="1073" spans="1:9" x14ac:dyDescent="0.3">
      <c r="A1073">
        <v>22</v>
      </c>
      <c r="B1073">
        <v>10</v>
      </c>
      <c r="C1073" s="4">
        <v>21</v>
      </c>
      <c r="D1073" t="s">
        <v>11</v>
      </c>
      <c r="E1073" t="s">
        <v>14</v>
      </c>
      <c r="F1073">
        <v>2024</v>
      </c>
      <c r="G1073" s="4">
        <v>30</v>
      </c>
      <c r="H1073">
        <v>50</v>
      </c>
      <c r="I1073">
        <f t="shared" si="16"/>
        <v>0</v>
      </c>
    </row>
    <row r="1074" spans="1:9" x14ac:dyDescent="0.3">
      <c r="A1074">
        <v>23</v>
      </c>
      <c r="B1074">
        <v>10</v>
      </c>
      <c r="C1074" s="4">
        <v>21</v>
      </c>
      <c r="D1074" t="s">
        <v>11</v>
      </c>
      <c r="E1074" t="s">
        <v>14</v>
      </c>
      <c r="F1074">
        <v>2024</v>
      </c>
      <c r="G1074" s="4">
        <v>30</v>
      </c>
      <c r="H1074">
        <v>50</v>
      </c>
      <c r="I1074">
        <f t="shared" si="16"/>
        <v>0</v>
      </c>
    </row>
    <row r="1075" spans="1:9" x14ac:dyDescent="0.3">
      <c r="A1075">
        <v>24</v>
      </c>
      <c r="B1075">
        <v>10</v>
      </c>
      <c r="C1075" s="4">
        <v>20</v>
      </c>
      <c r="D1075" t="s">
        <v>11</v>
      </c>
      <c r="E1075" t="s">
        <v>14</v>
      </c>
      <c r="F1075">
        <v>2024</v>
      </c>
      <c r="G1075" s="4">
        <v>28.571428571428569</v>
      </c>
      <c r="H1075">
        <v>50</v>
      </c>
      <c r="I1075">
        <f t="shared" si="16"/>
        <v>0</v>
      </c>
    </row>
    <row r="1076" spans="1:9" x14ac:dyDescent="0.3">
      <c r="A1076">
        <v>25</v>
      </c>
      <c r="B1076">
        <v>10</v>
      </c>
      <c r="C1076" s="4">
        <v>19</v>
      </c>
      <c r="D1076" t="s">
        <v>11</v>
      </c>
      <c r="E1076" t="s">
        <v>14</v>
      </c>
      <c r="F1076">
        <v>2024</v>
      </c>
      <c r="G1076" s="4">
        <v>27.142857142857139</v>
      </c>
      <c r="H1076">
        <v>50</v>
      </c>
      <c r="I1076">
        <f t="shared" si="16"/>
        <v>0</v>
      </c>
    </row>
    <row r="1077" spans="1:9" x14ac:dyDescent="0.3">
      <c r="A1077">
        <v>26</v>
      </c>
      <c r="B1077">
        <v>10</v>
      </c>
      <c r="C1077" s="4">
        <v>19</v>
      </c>
      <c r="D1077" t="s">
        <v>11</v>
      </c>
      <c r="E1077" t="s">
        <v>14</v>
      </c>
      <c r="F1077">
        <v>2024</v>
      </c>
      <c r="G1077" s="4">
        <v>27.142857142857139</v>
      </c>
      <c r="H1077">
        <v>50</v>
      </c>
      <c r="I1077">
        <f t="shared" si="16"/>
        <v>0</v>
      </c>
    </row>
    <row r="1078" spans="1:9" x14ac:dyDescent="0.3">
      <c r="A1078">
        <v>27</v>
      </c>
      <c r="B1078">
        <v>10</v>
      </c>
      <c r="C1078" s="4">
        <v>17</v>
      </c>
      <c r="D1078" t="s">
        <v>11</v>
      </c>
      <c r="E1078" t="s">
        <v>14</v>
      </c>
      <c r="F1078">
        <v>2024</v>
      </c>
      <c r="G1078" s="4">
        <v>24.285714285714281</v>
      </c>
      <c r="H1078">
        <v>50</v>
      </c>
      <c r="I1078">
        <f t="shared" si="16"/>
        <v>0</v>
      </c>
    </row>
    <row r="1079" spans="1:9" x14ac:dyDescent="0.3">
      <c r="A1079">
        <v>28</v>
      </c>
      <c r="B1079">
        <v>10</v>
      </c>
      <c r="C1079" s="4">
        <v>16</v>
      </c>
      <c r="D1079" t="s">
        <v>11</v>
      </c>
      <c r="E1079" t="s">
        <v>14</v>
      </c>
      <c r="F1079">
        <v>2024</v>
      </c>
      <c r="G1079" s="4">
        <v>22.857142857142861</v>
      </c>
      <c r="H1079">
        <v>50</v>
      </c>
      <c r="I1079">
        <f t="shared" si="16"/>
        <v>0</v>
      </c>
    </row>
    <row r="1080" spans="1:9" x14ac:dyDescent="0.3">
      <c r="A1080">
        <v>29</v>
      </c>
      <c r="B1080">
        <v>10</v>
      </c>
      <c r="C1080" s="4">
        <v>15</v>
      </c>
      <c r="D1080" t="s">
        <v>11</v>
      </c>
      <c r="E1080" t="s">
        <v>14</v>
      </c>
      <c r="F1080">
        <v>2024</v>
      </c>
      <c r="G1080" s="4">
        <v>21.428571428571431</v>
      </c>
      <c r="H1080">
        <v>50</v>
      </c>
      <c r="I1080">
        <f t="shared" si="16"/>
        <v>0</v>
      </c>
    </row>
    <row r="1081" spans="1:9" x14ac:dyDescent="0.3">
      <c r="A1081">
        <v>30</v>
      </c>
      <c r="B1081">
        <v>10</v>
      </c>
      <c r="C1081" s="4">
        <v>14</v>
      </c>
      <c r="D1081" t="s">
        <v>11</v>
      </c>
      <c r="E1081" t="s">
        <v>14</v>
      </c>
      <c r="F1081">
        <v>2024</v>
      </c>
      <c r="G1081" s="4">
        <v>20</v>
      </c>
      <c r="H1081">
        <v>50</v>
      </c>
      <c r="I1081">
        <f t="shared" si="16"/>
        <v>0</v>
      </c>
    </row>
    <row r="1082" spans="1:9" x14ac:dyDescent="0.3">
      <c r="A1082">
        <v>31</v>
      </c>
      <c r="B1082">
        <v>10</v>
      </c>
      <c r="C1082" s="4">
        <v>14</v>
      </c>
      <c r="D1082" t="s">
        <v>11</v>
      </c>
      <c r="E1082" t="s">
        <v>14</v>
      </c>
      <c r="F1082">
        <v>2024</v>
      </c>
      <c r="G1082" s="4">
        <v>20</v>
      </c>
      <c r="H1082">
        <v>50</v>
      </c>
      <c r="I1082">
        <f t="shared" si="16"/>
        <v>0</v>
      </c>
    </row>
    <row r="1083" spans="1:9" x14ac:dyDescent="0.3">
      <c r="A1083">
        <v>32</v>
      </c>
      <c r="B1083">
        <v>10</v>
      </c>
      <c r="C1083" s="4">
        <v>13</v>
      </c>
      <c r="D1083" t="s">
        <v>11</v>
      </c>
      <c r="E1083" t="s">
        <v>14</v>
      </c>
      <c r="F1083">
        <v>2024</v>
      </c>
      <c r="G1083" s="4">
        <v>18.571428571428569</v>
      </c>
      <c r="H1083">
        <v>50</v>
      </c>
      <c r="I1083">
        <f t="shared" si="16"/>
        <v>0</v>
      </c>
    </row>
    <row r="1084" spans="1:9" x14ac:dyDescent="0.3">
      <c r="A1084">
        <v>33</v>
      </c>
      <c r="B1084">
        <v>10</v>
      </c>
      <c r="C1084" s="4">
        <v>13</v>
      </c>
      <c r="D1084" t="s">
        <v>11</v>
      </c>
      <c r="E1084" t="s">
        <v>14</v>
      </c>
      <c r="F1084">
        <v>2024</v>
      </c>
      <c r="G1084" s="4">
        <v>18.571428571428569</v>
      </c>
      <c r="H1084">
        <v>50</v>
      </c>
      <c r="I1084">
        <f t="shared" si="16"/>
        <v>0</v>
      </c>
    </row>
    <row r="1085" spans="1:9" x14ac:dyDescent="0.3">
      <c r="A1085">
        <v>34</v>
      </c>
      <c r="B1085">
        <v>10</v>
      </c>
      <c r="C1085" s="4">
        <v>11</v>
      </c>
      <c r="D1085" t="s">
        <v>11</v>
      </c>
      <c r="E1085" t="s">
        <v>14</v>
      </c>
      <c r="F1085">
        <v>2024</v>
      </c>
      <c r="G1085" s="4">
        <v>15.71428571428571</v>
      </c>
      <c r="H1085">
        <v>50</v>
      </c>
      <c r="I1085">
        <f t="shared" si="16"/>
        <v>0</v>
      </c>
    </row>
    <row r="1086" spans="1:9" x14ac:dyDescent="0.3">
      <c r="A1086">
        <v>35</v>
      </c>
      <c r="B1086">
        <v>10</v>
      </c>
      <c r="C1086" s="4">
        <v>11</v>
      </c>
      <c r="D1086" t="s">
        <v>11</v>
      </c>
      <c r="E1086" t="s">
        <v>14</v>
      </c>
      <c r="F1086">
        <v>2024</v>
      </c>
      <c r="G1086" s="4">
        <v>15.71428571428571</v>
      </c>
      <c r="H1086">
        <v>50</v>
      </c>
      <c r="I1086">
        <f t="shared" si="16"/>
        <v>0</v>
      </c>
    </row>
    <row r="1087" spans="1:9" x14ac:dyDescent="0.3">
      <c r="A1087">
        <v>36</v>
      </c>
      <c r="B1087">
        <v>10</v>
      </c>
      <c r="C1087" s="4">
        <v>10</v>
      </c>
      <c r="D1087" t="s">
        <v>11</v>
      </c>
      <c r="E1087" t="s">
        <v>14</v>
      </c>
      <c r="F1087">
        <v>2024</v>
      </c>
      <c r="G1087" s="4">
        <v>14.285714285714279</v>
      </c>
      <c r="H1087">
        <v>50</v>
      </c>
      <c r="I1087">
        <f t="shared" si="16"/>
        <v>0</v>
      </c>
    </row>
    <row r="1088" spans="1:9" x14ac:dyDescent="0.3">
      <c r="A1088">
        <v>37</v>
      </c>
      <c r="B1088">
        <v>10</v>
      </c>
      <c r="C1088" s="4">
        <v>8</v>
      </c>
      <c r="D1088" t="s">
        <v>11</v>
      </c>
      <c r="E1088" t="s">
        <v>14</v>
      </c>
      <c r="F1088">
        <v>2024</v>
      </c>
      <c r="G1088" s="4">
        <v>11.428571428571431</v>
      </c>
      <c r="H1088">
        <v>50</v>
      </c>
      <c r="I1088">
        <f t="shared" si="16"/>
        <v>0</v>
      </c>
    </row>
    <row r="1089" spans="1:9" x14ac:dyDescent="0.3">
      <c r="A1089">
        <v>38</v>
      </c>
      <c r="B1089">
        <v>10</v>
      </c>
      <c r="C1089" s="4">
        <v>7</v>
      </c>
      <c r="D1089" t="s">
        <v>11</v>
      </c>
      <c r="E1089" t="s">
        <v>14</v>
      </c>
      <c r="F1089">
        <v>2024</v>
      </c>
      <c r="G1089" s="4">
        <v>10</v>
      </c>
      <c r="H1089">
        <v>50</v>
      </c>
      <c r="I1089">
        <f t="shared" si="16"/>
        <v>0</v>
      </c>
    </row>
    <row r="1090" spans="1:9" x14ac:dyDescent="0.3">
      <c r="A1090">
        <v>39</v>
      </c>
      <c r="B1090">
        <v>10</v>
      </c>
      <c r="C1090" s="4">
        <v>7</v>
      </c>
      <c r="D1090" t="s">
        <v>11</v>
      </c>
      <c r="E1090" t="s">
        <v>14</v>
      </c>
      <c r="F1090">
        <v>2024</v>
      </c>
      <c r="G1090" s="4">
        <v>10</v>
      </c>
      <c r="H1090">
        <v>50</v>
      </c>
      <c r="I1090">
        <f t="shared" si="16"/>
        <v>0</v>
      </c>
    </row>
    <row r="1091" spans="1:9" x14ac:dyDescent="0.3">
      <c r="A1091">
        <v>40</v>
      </c>
      <c r="B1091">
        <v>10</v>
      </c>
      <c r="C1091" s="4">
        <v>7</v>
      </c>
      <c r="D1091" t="s">
        <v>11</v>
      </c>
      <c r="E1091" t="s">
        <v>14</v>
      </c>
      <c r="F1091">
        <v>2024</v>
      </c>
      <c r="G1091" s="4">
        <v>10</v>
      </c>
      <c r="H1091">
        <v>50</v>
      </c>
      <c r="I1091">
        <f t="shared" ref="I1091:I1154" si="17">IF(C1091&gt;=H1091,1,0)</f>
        <v>0</v>
      </c>
    </row>
    <row r="1092" spans="1:9" x14ac:dyDescent="0.3">
      <c r="A1092">
        <v>41</v>
      </c>
      <c r="B1092">
        <v>10</v>
      </c>
      <c r="C1092" s="4">
        <v>7</v>
      </c>
      <c r="D1092" t="s">
        <v>11</v>
      </c>
      <c r="E1092" t="s">
        <v>14</v>
      </c>
      <c r="F1092">
        <v>2024</v>
      </c>
      <c r="G1092" s="4">
        <v>10</v>
      </c>
      <c r="H1092">
        <v>50</v>
      </c>
      <c r="I1092">
        <f t="shared" si="17"/>
        <v>0</v>
      </c>
    </row>
    <row r="1093" spans="1:9" x14ac:dyDescent="0.3">
      <c r="A1093">
        <v>42</v>
      </c>
      <c r="B1093">
        <v>10</v>
      </c>
      <c r="C1093" s="4">
        <v>7</v>
      </c>
      <c r="D1093" t="s">
        <v>11</v>
      </c>
      <c r="E1093" t="s">
        <v>14</v>
      </c>
      <c r="F1093">
        <v>2024</v>
      </c>
      <c r="G1093" s="4">
        <v>10</v>
      </c>
      <c r="H1093">
        <v>50</v>
      </c>
      <c r="I1093">
        <f t="shared" si="17"/>
        <v>0</v>
      </c>
    </row>
    <row r="1094" spans="1:9" x14ac:dyDescent="0.3">
      <c r="A1094">
        <v>43</v>
      </c>
      <c r="B1094">
        <v>10</v>
      </c>
      <c r="C1094" s="4">
        <v>3</v>
      </c>
      <c r="D1094" t="s">
        <v>11</v>
      </c>
      <c r="E1094" t="s">
        <v>14</v>
      </c>
      <c r="F1094">
        <v>2024</v>
      </c>
      <c r="G1094" s="4">
        <v>4.2857142857142856</v>
      </c>
      <c r="H1094">
        <v>50</v>
      </c>
      <c r="I1094">
        <f t="shared" si="17"/>
        <v>0</v>
      </c>
    </row>
    <row r="1095" spans="1:9" x14ac:dyDescent="0.3">
      <c r="A1095">
        <v>1</v>
      </c>
      <c r="B1095">
        <v>11</v>
      </c>
      <c r="C1095" s="4">
        <v>54</v>
      </c>
      <c r="D1095" t="s">
        <v>8</v>
      </c>
      <c r="E1095" t="s">
        <v>14</v>
      </c>
      <c r="F1095">
        <v>2024</v>
      </c>
      <c r="G1095" s="4">
        <v>77.142857142857153</v>
      </c>
      <c r="H1095">
        <v>51</v>
      </c>
      <c r="I1095">
        <f t="shared" si="17"/>
        <v>1</v>
      </c>
    </row>
    <row r="1096" spans="1:9" x14ac:dyDescent="0.3">
      <c r="A1096">
        <v>2</v>
      </c>
      <c r="B1096">
        <v>11</v>
      </c>
      <c r="C1096" s="4">
        <v>51</v>
      </c>
      <c r="D1096" t="s">
        <v>8</v>
      </c>
      <c r="E1096" t="s">
        <v>14</v>
      </c>
      <c r="F1096">
        <v>2024</v>
      </c>
      <c r="G1096" s="4">
        <v>72.857142857142847</v>
      </c>
      <c r="H1096">
        <v>51</v>
      </c>
      <c r="I1096">
        <f t="shared" si="17"/>
        <v>1</v>
      </c>
    </row>
    <row r="1097" spans="1:9" x14ac:dyDescent="0.3">
      <c r="A1097">
        <v>3</v>
      </c>
      <c r="B1097">
        <v>11</v>
      </c>
      <c r="C1097" s="4">
        <v>42</v>
      </c>
      <c r="D1097" t="s">
        <v>12</v>
      </c>
      <c r="E1097" t="s">
        <v>14</v>
      </c>
      <c r="F1097">
        <v>2024</v>
      </c>
      <c r="G1097" s="4">
        <v>60</v>
      </c>
      <c r="H1097">
        <v>51</v>
      </c>
      <c r="I1097">
        <f t="shared" si="17"/>
        <v>0</v>
      </c>
    </row>
    <row r="1098" spans="1:9" x14ac:dyDescent="0.3">
      <c r="A1098">
        <v>4</v>
      </c>
      <c r="B1098">
        <v>11</v>
      </c>
      <c r="C1098" s="4">
        <v>42</v>
      </c>
      <c r="D1098" t="s">
        <v>12</v>
      </c>
      <c r="E1098" t="s">
        <v>14</v>
      </c>
      <c r="F1098">
        <v>2024</v>
      </c>
      <c r="G1098" s="4">
        <v>60</v>
      </c>
      <c r="H1098">
        <v>51</v>
      </c>
      <c r="I1098">
        <f t="shared" si="17"/>
        <v>0</v>
      </c>
    </row>
    <row r="1099" spans="1:9" x14ac:dyDescent="0.3">
      <c r="A1099">
        <v>5</v>
      </c>
      <c r="B1099">
        <v>11</v>
      </c>
      <c r="C1099" s="4">
        <v>40</v>
      </c>
      <c r="D1099" t="s">
        <v>12</v>
      </c>
      <c r="E1099" t="s">
        <v>14</v>
      </c>
      <c r="F1099">
        <v>2024</v>
      </c>
      <c r="G1099" s="4">
        <v>57.142857142857139</v>
      </c>
      <c r="H1099">
        <v>51</v>
      </c>
      <c r="I1099">
        <f t="shared" si="17"/>
        <v>0</v>
      </c>
    </row>
    <row r="1100" spans="1:9" x14ac:dyDescent="0.3">
      <c r="A1100">
        <v>6</v>
      </c>
      <c r="B1100">
        <v>11</v>
      </c>
      <c r="C1100" s="4">
        <v>38</v>
      </c>
      <c r="D1100" t="s">
        <v>12</v>
      </c>
      <c r="E1100" t="s">
        <v>14</v>
      </c>
      <c r="F1100">
        <v>2024</v>
      </c>
      <c r="G1100" s="4">
        <v>54.285714285714278</v>
      </c>
      <c r="H1100">
        <v>51</v>
      </c>
      <c r="I1100">
        <f t="shared" si="17"/>
        <v>0</v>
      </c>
    </row>
    <row r="1101" spans="1:9" x14ac:dyDescent="0.3">
      <c r="A1101">
        <v>7</v>
      </c>
      <c r="B1101">
        <v>11</v>
      </c>
      <c r="C1101" s="4">
        <v>38</v>
      </c>
      <c r="D1101" t="s">
        <v>12</v>
      </c>
      <c r="E1101" t="s">
        <v>14</v>
      </c>
      <c r="F1101">
        <v>2024</v>
      </c>
      <c r="G1101" s="4">
        <v>54.285714285714278</v>
      </c>
      <c r="H1101">
        <v>51</v>
      </c>
      <c r="I1101">
        <f t="shared" si="17"/>
        <v>0</v>
      </c>
    </row>
    <row r="1102" spans="1:9" x14ac:dyDescent="0.3">
      <c r="A1102">
        <v>8</v>
      </c>
      <c r="B1102">
        <v>11</v>
      </c>
      <c r="C1102" s="4">
        <v>35</v>
      </c>
      <c r="D1102" t="s">
        <v>12</v>
      </c>
      <c r="E1102" t="s">
        <v>14</v>
      </c>
      <c r="F1102">
        <v>2024</v>
      </c>
      <c r="G1102" s="4">
        <v>50</v>
      </c>
      <c r="H1102">
        <v>51</v>
      </c>
      <c r="I1102">
        <f t="shared" si="17"/>
        <v>0</v>
      </c>
    </row>
    <row r="1103" spans="1:9" x14ac:dyDescent="0.3">
      <c r="A1103">
        <v>9</v>
      </c>
      <c r="B1103">
        <v>11</v>
      </c>
      <c r="C1103" s="4">
        <v>34</v>
      </c>
      <c r="D1103" t="s">
        <v>12</v>
      </c>
      <c r="E1103" t="s">
        <v>14</v>
      </c>
      <c r="F1103">
        <v>2024</v>
      </c>
      <c r="G1103" s="4">
        <v>48.571428571428569</v>
      </c>
      <c r="H1103">
        <v>51</v>
      </c>
      <c r="I1103">
        <f t="shared" si="17"/>
        <v>0</v>
      </c>
    </row>
    <row r="1104" spans="1:9" x14ac:dyDescent="0.3">
      <c r="A1104">
        <v>10</v>
      </c>
      <c r="B1104">
        <v>11</v>
      </c>
      <c r="C1104" s="4">
        <v>34</v>
      </c>
      <c r="D1104" t="s">
        <v>12</v>
      </c>
      <c r="E1104" t="s">
        <v>14</v>
      </c>
      <c r="F1104">
        <v>2024</v>
      </c>
      <c r="G1104" s="4">
        <v>48.571428571428569</v>
      </c>
      <c r="H1104">
        <v>51</v>
      </c>
      <c r="I1104">
        <f t="shared" si="17"/>
        <v>0</v>
      </c>
    </row>
    <row r="1105" spans="1:9" x14ac:dyDescent="0.3">
      <c r="A1105">
        <v>11</v>
      </c>
      <c r="B1105">
        <v>11</v>
      </c>
      <c r="C1105" s="4">
        <v>33</v>
      </c>
      <c r="D1105" t="s">
        <v>12</v>
      </c>
      <c r="E1105" t="s">
        <v>14</v>
      </c>
      <c r="F1105">
        <v>2024</v>
      </c>
      <c r="G1105" s="4">
        <v>47.142857142857139</v>
      </c>
      <c r="H1105">
        <v>51</v>
      </c>
      <c r="I1105">
        <f t="shared" si="17"/>
        <v>0</v>
      </c>
    </row>
    <row r="1106" spans="1:9" x14ac:dyDescent="0.3">
      <c r="A1106">
        <v>12</v>
      </c>
      <c r="B1106">
        <v>11</v>
      </c>
      <c r="C1106" s="4">
        <v>33</v>
      </c>
      <c r="D1106" t="s">
        <v>12</v>
      </c>
      <c r="E1106" t="s">
        <v>14</v>
      </c>
      <c r="F1106">
        <v>2024</v>
      </c>
      <c r="G1106" s="4">
        <v>47.142857142857139</v>
      </c>
      <c r="H1106">
        <v>51</v>
      </c>
      <c r="I1106">
        <f t="shared" si="17"/>
        <v>0</v>
      </c>
    </row>
    <row r="1107" spans="1:9" x14ac:dyDescent="0.3">
      <c r="A1107">
        <v>13</v>
      </c>
      <c r="B1107">
        <v>11</v>
      </c>
      <c r="C1107" s="4">
        <v>33</v>
      </c>
      <c r="D1107" t="s">
        <v>12</v>
      </c>
      <c r="E1107" t="s">
        <v>14</v>
      </c>
      <c r="F1107">
        <v>2024</v>
      </c>
      <c r="G1107" s="4">
        <v>47.142857142857139</v>
      </c>
      <c r="H1107">
        <v>51</v>
      </c>
      <c r="I1107">
        <f t="shared" si="17"/>
        <v>0</v>
      </c>
    </row>
    <row r="1108" spans="1:9" x14ac:dyDescent="0.3">
      <c r="A1108">
        <v>14</v>
      </c>
      <c r="B1108">
        <v>11</v>
      </c>
      <c r="C1108" s="4">
        <v>32</v>
      </c>
      <c r="D1108" t="s">
        <v>12</v>
      </c>
      <c r="E1108" t="s">
        <v>14</v>
      </c>
      <c r="F1108">
        <v>2024</v>
      </c>
      <c r="G1108" s="4">
        <v>45.714285714285722</v>
      </c>
      <c r="H1108">
        <v>51</v>
      </c>
      <c r="I1108">
        <f t="shared" si="17"/>
        <v>0</v>
      </c>
    </row>
    <row r="1109" spans="1:9" x14ac:dyDescent="0.3">
      <c r="A1109">
        <v>15</v>
      </c>
      <c r="B1109">
        <v>11</v>
      </c>
      <c r="C1109" s="4">
        <v>32</v>
      </c>
      <c r="D1109" t="s">
        <v>12</v>
      </c>
      <c r="E1109" t="s">
        <v>14</v>
      </c>
      <c r="F1109">
        <v>2024</v>
      </c>
      <c r="G1109" s="4">
        <v>45.714285714285722</v>
      </c>
      <c r="H1109">
        <v>51</v>
      </c>
      <c r="I1109">
        <f t="shared" si="17"/>
        <v>0</v>
      </c>
    </row>
    <row r="1110" spans="1:9" x14ac:dyDescent="0.3">
      <c r="A1110">
        <v>16</v>
      </c>
      <c r="B1110">
        <v>11</v>
      </c>
      <c r="C1110" s="4">
        <v>31</v>
      </c>
      <c r="D1110" t="s">
        <v>12</v>
      </c>
      <c r="E1110" t="s">
        <v>14</v>
      </c>
      <c r="F1110">
        <v>2024</v>
      </c>
      <c r="G1110" s="4">
        <v>44.285714285714278</v>
      </c>
      <c r="H1110">
        <v>51</v>
      </c>
      <c r="I1110">
        <f t="shared" si="17"/>
        <v>0</v>
      </c>
    </row>
    <row r="1111" spans="1:9" x14ac:dyDescent="0.3">
      <c r="A1111">
        <v>17</v>
      </c>
      <c r="B1111">
        <v>11</v>
      </c>
      <c r="C1111" s="4">
        <v>31</v>
      </c>
      <c r="D1111" t="s">
        <v>12</v>
      </c>
      <c r="E1111" t="s">
        <v>14</v>
      </c>
      <c r="F1111">
        <v>2024</v>
      </c>
      <c r="G1111" s="4">
        <v>44.285714285714278</v>
      </c>
      <c r="H1111">
        <v>51</v>
      </c>
      <c r="I1111">
        <f t="shared" si="17"/>
        <v>0</v>
      </c>
    </row>
    <row r="1112" spans="1:9" x14ac:dyDescent="0.3">
      <c r="A1112">
        <v>18</v>
      </c>
      <c r="B1112">
        <v>11</v>
      </c>
      <c r="C1112" s="4">
        <v>31</v>
      </c>
      <c r="D1112" t="s">
        <v>12</v>
      </c>
      <c r="E1112" t="s">
        <v>14</v>
      </c>
      <c r="F1112">
        <v>2024</v>
      </c>
      <c r="G1112" s="4">
        <v>44.285714285714278</v>
      </c>
      <c r="H1112">
        <v>51</v>
      </c>
      <c r="I1112">
        <f t="shared" si="17"/>
        <v>0</v>
      </c>
    </row>
    <row r="1113" spans="1:9" x14ac:dyDescent="0.3">
      <c r="A1113">
        <v>19</v>
      </c>
      <c r="B1113">
        <v>11</v>
      </c>
      <c r="C1113" s="4">
        <v>30</v>
      </c>
      <c r="D1113" t="s">
        <v>12</v>
      </c>
      <c r="E1113" t="s">
        <v>14</v>
      </c>
      <c r="F1113">
        <v>2024</v>
      </c>
      <c r="G1113" s="4">
        <v>42.857142857142847</v>
      </c>
      <c r="H1113">
        <v>51</v>
      </c>
      <c r="I1113">
        <f t="shared" si="17"/>
        <v>0</v>
      </c>
    </row>
    <row r="1114" spans="1:9" x14ac:dyDescent="0.3">
      <c r="A1114">
        <v>20</v>
      </c>
      <c r="B1114">
        <v>11</v>
      </c>
      <c r="C1114" s="4">
        <v>30</v>
      </c>
      <c r="D1114" t="s">
        <v>12</v>
      </c>
      <c r="E1114" t="s">
        <v>14</v>
      </c>
      <c r="F1114">
        <v>2024</v>
      </c>
      <c r="G1114" s="4">
        <v>42.857142857142847</v>
      </c>
      <c r="H1114">
        <v>51</v>
      </c>
      <c r="I1114">
        <f t="shared" si="17"/>
        <v>0</v>
      </c>
    </row>
    <row r="1115" spans="1:9" x14ac:dyDescent="0.3">
      <c r="A1115">
        <v>21</v>
      </c>
      <c r="B1115">
        <v>11</v>
      </c>
      <c r="C1115" s="4">
        <v>28</v>
      </c>
      <c r="D1115" t="s">
        <v>11</v>
      </c>
      <c r="E1115" t="s">
        <v>14</v>
      </c>
      <c r="F1115">
        <v>2024</v>
      </c>
      <c r="G1115" s="4">
        <v>40</v>
      </c>
      <c r="H1115">
        <v>51</v>
      </c>
      <c r="I1115">
        <f t="shared" si="17"/>
        <v>0</v>
      </c>
    </row>
    <row r="1116" spans="1:9" x14ac:dyDescent="0.3">
      <c r="A1116">
        <v>22</v>
      </c>
      <c r="B1116">
        <v>11</v>
      </c>
      <c r="C1116" s="4">
        <v>26</v>
      </c>
      <c r="D1116" t="s">
        <v>11</v>
      </c>
      <c r="E1116" t="s">
        <v>14</v>
      </c>
      <c r="F1116">
        <v>2024</v>
      </c>
      <c r="G1116" s="4">
        <v>37.142857142857153</v>
      </c>
      <c r="H1116">
        <v>51</v>
      </c>
      <c r="I1116">
        <f t="shared" si="17"/>
        <v>0</v>
      </c>
    </row>
    <row r="1117" spans="1:9" x14ac:dyDescent="0.3">
      <c r="A1117">
        <v>23</v>
      </c>
      <c r="B1117">
        <v>11</v>
      </c>
      <c r="C1117" s="4">
        <v>26</v>
      </c>
      <c r="D1117" t="s">
        <v>11</v>
      </c>
      <c r="E1117" t="s">
        <v>14</v>
      </c>
      <c r="F1117">
        <v>2024</v>
      </c>
      <c r="G1117" s="4">
        <v>37.142857142857153</v>
      </c>
      <c r="H1117">
        <v>51</v>
      </c>
      <c r="I1117">
        <f t="shared" si="17"/>
        <v>0</v>
      </c>
    </row>
    <row r="1118" spans="1:9" x14ac:dyDescent="0.3">
      <c r="A1118">
        <v>24</v>
      </c>
      <c r="B1118">
        <v>11</v>
      </c>
      <c r="C1118" s="4">
        <v>25</v>
      </c>
      <c r="D1118" t="s">
        <v>11</v>
      </c>
      <c r="E1118" t="s">
        <v>14</v>
      </c>
      <c r="F1118">
        <v>2024</v>
      </c>
      <c r="G1118" s="4">
        <v>35.714285714285722</v>
      </c>
      <c r="H1118">
        <v>51</v>
      </c>
      <c r="I1118">
        <f t="shared" si="17"/>
        <v>0</v>
      </c>
    </row>
    <row r="1119" spans="1:9" x14ac:dyDescent="0.3">
      <c r="A1119">
        <v>25</v>
      </c>
      <c r="B1119">
        <v>11</v>
      </c>
      <c r="C1119" s="4">
        <v>25</v>
      </c>
      <c r="D1119" t="s">
        <v>11</v>
      </c>
      <c r="E1119" t="s">
        <v>14</v>
      </c>
      <c r="F1119">
        <v>2024</v>
      </c>
      <c r="G1119" s="4">
        <v>35.714285714285722</v>
      </c>
      <c r="H1119">
        <v>51</v>
      </c>
      <c r="I1119">
        <f t="shared" si="17"/>
        <v>0</v>
      </c>
    </row>
    <row r="1120" spans="1:9" x14ac:dyDescent="0.3">
      <c r="A1120">
        <v>26</v>
      </c>
      <c r="B1120">
        <v>11</v>
      </c>
      <c r="C1120" s="4">
        <v>23</v>
      </c>
      <c r="D1120" t="s">
        <v>11</v>
      </c>
      <c r="E1120" t="s">
        <v>14</v>
      </c>
      <c r="F1120">
        <v>2024</v>
      </c>
      <c r="G1120" s="4">
        <v>32.857142857142847</v>
      </c>
      <c r="H1120">
        <v>51</v>
      </c>
      <c r="I1120">
        <f t="shared" si="17"/>
        <v>0</v>
      </c>
    </row>
    <row r="1121" spans="1:9" x14ac:dyDescent="0.3">
      <c r="A1121">
        <v>27</v>
      </c>
      <c r="B1121">
        <v>11</v>
      </c>
      <c r="C1121" s="4">
        <v>22</v>
      </c>
      <c r="D1121" t="s">
        <v>11</v>
      </c>
      <c r="E1121" t="s">
        <v>14</v>
      </c>
      <c r="F1121">
        <v>2024</v>
      </c>
      <c r="G1121" s="4">
        <v>31.428571428571431</v>
      </c>
      <c r="H1121">
        <v>51</v>
      </c>
      <c r="I1121">
        <f t="shared" si="17"/>
        <v>0</v>
      </c>
    </row>
    <row r="1122" spans="1:9" x14ac:dyDescent="0.3">
      <c r="A1122">
        <v>28</v>
      </c>
      <c r="B1122">
        <v>11</v>
      </c>
      <c r="C1122" s="4">
        <v>22</v>
      </c>
      <c r="D1122" t="s">
        <v>11</v>
      </c>
      <c r="E1122" t="s">
        <v>14</v>
      </c>
      <c r="F1122">
        <v>2024</v>
      </c>
      <c r="G1122" s="4">
        <v>31.428571428571431</v>
      </c>
      <c r="H1122">
        <v>51</v>
      </c>
      <c r="I1122">
        <f t="shared" si="17"/>
        <v>0</v>
      </c>
    </row>
    <row r="1123" spans="1:9" x14ac:dyDescent="0.3">
      <c r="A1123">
        <v>29</v>
      </c>
      <c r="B1123">
        <v>11</v>
      </c>
      <c r="C1123" s="4">
        <v>22</v>
      </c>
      <c r="D1123" t="s">
        <v>11</v>
      </c>
      <c r="E1123" t="s">
        <v>14</v>
      </c>
      <c r="F1123">
        <v>2024</v>
      </c>
      <c r="G1123" s="4">
        <v>31.428571428571431</v>
      </c>
      <c r="H1123">
        <v>51</v>
      </c>
      <c r="I1123">
        <f t="shared" si="17"/>
        <v>0</v>
      </c>
    </row>
    <row r="1124" spans="1:9" x14ac:dyDescent="0.3">
      <c r="A1124">
        <v>30</v>
      </c>
      <c r="B1124">
        <v>11</v>
      </c>
      <c r="C1124" s="4">
        <v>22</v>
      </c>
      <c r="D1124" t="s">
        <v>11</v>
      </c>
      <c r="E1124" t="s">
        <v>14</v>
      </c>
      <c r="F1124">
        <v>2024</v>
      </c>
      <c r="G1124" s="4">
        <v>31.428571428571431</v>
      </c>
      <c r="H1124">
        <v>51</v>
      </c>
      <c r="I1124">
        <f t="shared" si="17"/>
        <v>0</v>
      </c>
    </row>
    <row r="1125" spans="1:9" x14ac:dyDescent="0.3">
      <c r="A1125">
        <v>31</v>
      </c>
      <c r="B1125">
        <v>11</v>
      </c>
      <c r="C1125" s="4">
        <v>21</v>
      </c>
      <c r="D1125" t="s">
        <v>11</v>
      </c>
      <c r="E1125" t="s">
        <v>14</v>
      </c>
      <c r="F1125">
        <v>2024</v>
      </c>
      <c r="G1125" s="4">
        <v>30</v>
      </c>
      <c r="H1125">
        <v>51</v>
      </c>
      <c r="I1125">
        <f t="shared" si="17"/>
        <v>0</v>
      </c>
    </row>
    <row r="1126" spans="1:9" x14ac:dyDescent="0.3">
      <c r="A1126">
        <v>32</v>
      </c>
      <c r="B1126">
        <v>11</v>
      </c>
      <c r="C1126" s="4">
        <v>19</v>
      </c>
      <c r="D1126" t="s">
        <v>11</v>
      </c>
      <c r="E1126" t="s">
        <v>14</v>
      </c>
      <c r="F1126">
        <v>2024</v>
      </c>
      <c r="G1126" s="4">
        <v>27.142857142857139</v>
      </c>
      <c r="H1126">
        <v>51</v>
      </c>
      <c r="I1126">
        <f t="shared" si="17"/>
        <v>0</v>
      </c>
    </row>
    <row r="1127" spans="1:9" x14ac:dyDescent="0.3">
      <c r="A1127">
        <v>33</v>
      </c>
      <c r="B1127">
        <v>11</v>
      </c>
      <c r="C1127" s="4">
        <v>17</v>
      </c>
      <c r="D1127" t="s">
        <v>11</v>
      </c>
      <c r="E1127" t="s">
        <v>14</v>
      </c>
      <c r="F1127">
        <v>2024</v>
      </c>
      <c r="G1127" s="4">
        <v>24.285714285714281</v>
      </c>
      <c r="H1127">
        <v>51</v>
      </c>
      <c r="I1127">
        <f t="shared" si="17"/>
        <v>0</v>
      </c>
    </row>
    <row r="1128" spans="1:9" x14ac:dyDescent="0.3">
      <c r="A1128">
        <v>34</v>
      </c>
      <c r="B1128">
        <v>11</v>
      </c>
      <c r="C1128" s="4">
        <v>16</v>
      </c>
      <c r="D1128" t="s">
        <v>11</v>
      </c>
      <c r="E1128" t="s">
        <v>14</v>
      </c>
      <c r="F1128">
        <v>2024</v>
      </c>
      <c r="G1128" s="4">
        <v>22.857142857142861</v>
      </c>
      <c r="H1128">
        <v>51</v>
      </c>
      <c r="I1128">
        <f t="shared" si="17"/>
        <v>0</v>
      </c>
    </row>
    <row r="1129" spans="1:9" x14ac:dyDescent="0.3">
      <c r="A1129">
        <v>35</v>
      </c>
      <c r="B1129">
        <v>11</v>
      </c>
      <c r="C1129" s="4">
        <v>16</v>
      </c>
      <c r="D1129" t="s">
        <v>11</v>
      </c>
      <c r="E1129" t="s">
        <v>14</v>
      </c>
      <c r="F1129">
        <v>2024</v>
      </c>
      <c r="G1129" s="4">
        <v>22.857142857142861</v>
      </c>
      <c r="H1129">
        <v>51</v>
      </c>
      <c r="I1129">
        <f t="shared" si="17"/>
        <v>0</v>
      </c>
    </row>
    <row r="1130" spans="1:9" x14ac:dyDescent="0.3">
      <c r="A1130">
        <v>36</v>
      </c>
      <c r="B1130">
        <v>11</v>
      </c>
      <c r="C1130" s="4">
        <v>16</v>
      </c>
      <c r="D1130" t="s">
        <v>11</v>
      </c>
      <c r="E1130" t="s">
        <v>14</v>
      </c>
      <c r="F1130">
        <v>2024</v>
      </c>
      <c r="G1130" s="4">
        <v>22.857142857142861</v>
      </c>
      <c r="H1130">
        <v>51</v>
      </c>
      <c r="I1130">
        <f t="shared" si="17"/>
        <v>0</v>
      </c>
    </row>
    <row r="1131" spans="1:9" x14ac:dyDescent="0.3">
      <c r="A1131">
        <v>37</v>
      </c>
      <c r="B1131">
        <v>11</v>
      </c>
      <c r="C1131" s="4">
        <v>15</v>
      </c>
      <c r="D1131" t="s">
        <v>11</v>
      </c>
      <c r="E1131" t="s">
        <v>14</v>
      </c>
      <c r="F1131">
        <v>2024</v>
      </c>
      <c r="G1131" s="4">
        <v>21.428571428571431</v>
      </c>
      <c r="H1131">
        <v>51</v>
      </c>
      <c r="I1131">
        <f t="shared" si="17"/>
        <v>0</v>
      </c>
    </row>
    <row r="1132" spans="1:9" x14ac:dyDescent="0.3">
      <c r="A1132">
        <v>38</v>
      </c>
      <c r="B1132">
        <v>11</v>
      </c>
      <c r="C1132" s="4">
        <v>14</v>
      </c>
      <c r="D1132" t="s">
        <v>11</v>
      </c>
      <c r="E1132" t="s">
        <v>14</v>
      </c>
      <c r="F1132">
        <v>2024</v>
      </c>
      <c r="G1132" s="4">
        <v>20</v>
      </c>
      <c r="H1132">
        <v>51</v>
      </c>
      <c r="I1132">
        <f t="shared" si="17"/>
        <v>0</v>
      </c>
    </row>
    <row r="1133" spans="1:9" x14ac:dyDescent="0.3">
      <c r="A1133">
        <v>39</v>
      </c>
      <c r="B1133">
        <v>11</v>
      </c>
      <c r="C1133" s="4">
        <v>14</v>
      </c>
      <c r="D1133" t="s">
        <v>11</v>
      </c>
      <c r="E1133" t="s">
        <v>14</v>
      </c>
      <c r="F1133">
        <v>2024</v>
      </c>
      <c r="G1133" s="4">
        <v>20</v>
      </c>
      <c r="H1133">
        <v>51</v>
      </c>
      <c r="I1133">
        <f t="shared" si="17"/>
        <v>0</v>
      </c>
    </row>
    <row r="1134" spans="1:9" x14ac:dyDescent="0.3">
      <c r="A1134">
        <v>40</v>
      </c>
      <c r="B1134">
        <v>11</v>
      </c>
      <c r="C1134" s="4">
        <v>7</v>
      </c>
      <c r="D1134" t="s">
        <v>11</v>
      </c>
      <c r="E1134" t="s">
        <v>14</v>
      </c>
      <c r="F1134">
        <v>2024</v>
      </c>
      <c r="G1134" s="4">
        <v>10</v>
      </c>
      <c r="H1134">
        <v>51</v>
      </c>
      <c r="I1134">
        <f t="shared" si="17"/>
        <v>0</v>
      </c>
    </row>
    <row r="1135" spans="1:9" x14ac:dyDescent="0.3">
      <c r="A1135">
        <v>41</v>
      </c>
      <c r="B1135">
        <v>11</v>
      </c>
      <c r="C1135" s="4">
        <v>4</v>
      </c>
      <c r="D1135" t="s">
        <v>11</v>
      </c>
      <c r="E1135" t="s">
        <v>14</v>
      </c>
      <c r="F1135">
        <v>2024</v>
      </c>
      <c r="G1135" s="4">
        <v>5.7142857142857144</v>
      </c>
      <c r="H1135">
        <v>51</v>
      </c>
      <c r="I1135">
        <f t="shared" si="17"/>
        <v>0</v>
      </c>
    </row>
    <row r="1136" spans="1:9" x14ac:dyDescent="0.3">
      <c r="A1136">
        <v>42</v>
      </c>
      <c r="B1136">
        <v>11</v>
      </c>
      <c r="C1136" s="4">
        <v>0</v>
      </c>
      <c r="D1136" t="s">
        <v>11</v>
      </c>
      <c r="E1136" t="s">
        <v>14</v>
      </c>
      <c r="F1136">
        <v>2024</v>
      </c>
      <c r="G1136" s="4">
        <v>0</v>
      </c>
      <c r="H1136">
        <v>51</v>
      </c>
      <c r="I1136">
        <f t="shared" si="17"/>
        <v>0</v>
      </c>
    </row>
    <row r="1137" spans="1:9" x14ac:dyDescent="0.3">
      <c r="A1137">
        <v>1</v>
      </c>
      <c r="B1137">
        <v>9</v>
      </c>
      <c r="C1137" s="4">
        <v>48</v>
      </c>
      <c r="D1137" t="s">
        <v>8</v>
      </c>
      <c r="E1137" t="s">
        <v>14</v>
      </c>
      <c r="F1137">
        <v>2025</v>
      </c>
      <c r="G1137" s="4">
        <v>68.571428571428569</v>
      </c>
      <c r="H1137">
        <v>50</v>
      </c>
      <c r="I1137">
        <f t="shared" si="17"/>
        <v>0</v>
      </c>
    </row>
    <row r="1138" spans="1:9" x14ac:dyDescent="0.3">
      <c r="A1138">
        <v>2</v>
      </c>
      <c r="B1138">
        <v>9</v>
      </c>
      <c r="C1138" s="4">
        <v>43</v>
      </c>
      <c r="D1138" t="s">
        <v>12</v>
      </c>
      <c r="E1138" t="s">
        <v>14</v>
      </c>
      <c r="F1138">
        <v>2025</v>
      </c>
      <c r="G1138" s="4">
        <v>61.428571428571431</v>
      </c>
      <c r="H1138">
        <v>50</v>
      </c>
      <c r="I1138">
        <f t="shared" si="17"/>
        <v>0</v>
      </c>
    </row>
    <row r="1139" spans="1:9" x14ac:dyDescent="0.3">
      <c r="A1139">
        <v>3</v>
      </c>
      <c r="B1139">
        <v>9</v>
      </c>
      <c r="C1139" s="4">
        <v>42</v>
      </c>
      <c r="D1139" t="s">
        <v>12</v>
      </c>
      <c r="E1139" t="s">
        <v>14</v>
      </c>
      <c r="F1139">
        <v>2025</v>
      </c>
      <c r="G1139" s="4">
        <v>60</v>
      </c>
      <c r="H1139">
        <v>50</v>
      </c>
      <c r="I1139">
        <f t="shared" si="17"/>
        <v>0</v>
      </c>
    </row>
    <row r="1140" spans="1:9" x14ac:dyDescent="0.3">
      <c r="A1140">
        <v>4</v>
      </c>
      <c r="B1140">
        <v>9</v>
      </c>
      <c r="C1140" s="4">
        <v>41</v>
      </c>
      <c r="D1140" t="s">
        <v>12</v>
      </c>
      <c r="E1140" t="s">
        <v>14</v>
      </c>
      <c r="F1140">
        <v>2025</v>
      </c>
      <c r="G1140" s="4">
        <v>58.571428571428577</v>
      </c>
      <c r="H1140">
        <v>50</v>
      </c>
      <c r="I1140">
        <f t="shared" si="17"/>
        <v>0</v>
      </c>
    </row>
    <row r="1141" spans="1:9" x14ac:dyDescent="0.3">
      <c r="A1141">
        <v>5</v>
      </c>
      <c r="B1141">
        <v>9</v>
      </c>
      <c r="C1141" s="4">
        <v>36</v>
      </c>
      <c r="D1141" t="s">
        <v>12</v>
      </c>
      <c r="E1141" t="s">
        <v>14</v>
      </c>
      <c r="F1141">
        <v>2025</v>
      </c>
      <c r="G1141" s="4">
        <v>51.428571428571423</v>
      </c>
      <c r="H1141">
        <v>50</v>
      </c>
      <c r="I1141">
        <f t="shared" si="17"/>
        <v>0</v>
      </c>
    </row>
    <row r="1142" spans="1:9" x14ac:dyDescent="0.3">
      <c r="A1142">
        <v>6</v>
      </c>
      <c r="B1142">
        <v>9</v>
      </c>
      <c r="C1142" s="4">
        <v>35</v>
      </c>
      <c r="D1142" t="s">
        <v>12</v>
      </c>
      <c r="E1142" t="s">
        <v>14</v>
      </c>
      <c r="F1142">
        <v>2025</v>
      </c>
      <c r="G1142" s="4">
        <v>50</v>
      </c>
      <c r="H1142">
        <v>50</v>
      </c>
      <c r="I1142">
        <f t="shared" si="17"/>
        <v>0</v>
      </c>
    </row>
    <row r="1143" spans="1:9" x14ac:dyDescent="0.3">
      <c r="A1143">
        <v>7</v>
      </c>
      <c r="B1143">
        <v>9</v>
      </c>
      <c r="C1143" s="4">
        <v>33</v>
      </c>
      <c r="D1143" t="s">
        <v>12</v>
      </c>
      <c r="E1143" t="s">
        <v>14</v>
      </c>
      <c r="F1143">
        <v>2025</v>
      </c>
      <c r="G1143" s="4">
        <v>47.142857142857139</v>
      </c>
      <c r="H1143">
        <v>50</v>
      </c>
      <c r="I1143">
        <f t="shared" si="17"/>
        <v>0</v>
      </c>
    </row>
    <row r="1144" spans="1:9" x14ac:dyDescent="0.3">
      <c r="A1144">
        <v>8</v>
      </c>
      <c r="B1144">
        <v>9</v>
      </c>
      <c r="C1144" s="4">
        <v>33</v>
      </c>
      <c r="D1144" t="s">
        <v>16</v>
      </c>
      <c r="E1144" t="s">
        <v>14</v>
      </c>
      <c r="F1144">
        <v>2025</v>
      </c>
      <c r="G1144" s="4">
        <v>47.142857142857139</v>
      </c>
      <c r="H1144">
        <v>50</v>
      </c>
      <c r="I1144">
        <f t="shared" si="17"/>
        <v>0</v>
      </c>
    </row>
    <row r="1145" spans="1:9" x14ac:dyDescent="0.3">
      <c r="A1145">
        <v>9</v>
      </c>
      <c r="B1145">
        <v>9</v>
      </c>
      <c r="C1145" s="4">
        <v>27</v>
      </c>
      <c r="D1145" t="s">
        <v>12</v>
      </c>
      <c r="E1145" t="s">
        <v>14</v>
      </c>
      <c r="F1145">
        <v>2025</v>
      </c>
      <c r="G1145" s="4">
        <v>38.571428571428577</v>
      </c>
      <c r="H1145">
        <v>50</v>
      </c>
      <c r="I1145">
        <f t="shared" si="17"/>
        <v>0</v>
      </c>
    </row>
    <row r="1146" spans="1:9" x14ac:dyDescent="0.3">
      <c r="A1146">
        <v>10</v>
      </c>
      <c r="B1146">
        <v>9</v>
      </c>
      <c r="C1146" s="4">
        <v>27</v>
      </c>
      <c r="D1146" t="s">
        <v>12</v>
      </c>
      <c r="E1146" t="s">
        <v>14</v>
      </c>
      <c r="F1146">
        <v>2025</v>
      </c>
      <c r="G1146" s="4">
        <v>38.571428571428577</v>
      </c>
      <c r="H1146">
        <v>50</v>
      </c>
      <c r="I1146">
        <f t="shared" si="17"/>
        <v>0</v>
      </c>
    </row>
    <row r="1147" spans="1:9" x14ac:dyDescent="0.3">
      <c r="A1147">
        <v>11</v>
      </c>
      <c r="B1147">
        <v>9</v>
      </c>
      <c r="C1147" s="4">
        <v>24</v>
      </c>
      <c r="D1147" t="s">
        <v>12</v>
      </c>
      <c r="E1147" t="s">
        <v>14</v>
      </c>
      <c r="F1147">
        <v>2025</v>
      </c>
      <c r="G1147" s="4">
        <v>34.285714285714278</v>
      </c>
      <c r="H1147">
        <v>50</v>
      </c>
      <c r="I1147">
        <f t="shared" si="17"/>
        <v>0</v>
      </c>
    </row>
    <row r="1148" spans="1:9" x14ac:dyDescent="0.3">
      <c r="A1148">
        <v>12</v>
      </c>
      <c r="B1148">
        <v>9</v>
      </c>
      <c r="C1148" s="4">
        <v>23</v>
      </c>
      <c r="D1148" t="s">
        <v>12</v>
      </c>
      <c r="E1148" t="s">
        <v>14</v>
      </c>
      <c r="F1148">
        <v>2025</v>
      </c>
      <c r="G1148" s="4">
        <v>32.857142857142847</v>
      </c>
      <c r="H1148">
        <v>50</v>
      </c>
      <c r="I1148">
        <f t="shared" si="17"/>
        <v>0</v>
      </c>
    </row>
    <row r="1149" spans="1:9" x14ac:dyDescent="0.3">
      <c r="A1149">
        <v>13</v>
      </c>
      <c r="B1149">
        <v>9</v>
      </c>
      <c r="C1149" s="4">
        <v>23</v>
      </c>
      <c r="D1149" t="s">
        <v>12</v>
      </c>
      <c r="E1149" t="s">
        <v>14</v>
      </c>
      <c r="F1149">
        <v>2025</v>
      </c>
      <c r="G1149" s="4">
        <v>32.857142857142847</v>
      </c>
      <c r="H1149">
        <v>50</v>
      </c>
      <c r="I1149">
        <f t="shared" si="17"/>
        <v>0</v>
      </c>
    </row>
    <row r="1150" spans="1:9" x14ac:dyDescent="0.3">
      <c r="A1150">
        <v>14</v>
      </c>
      <c r="B1150">
        <v>9</v>
      </c>
      <c r="C1150" s="4">
        <v>23</v>
      </c>
      <c r="D1150" t="s">
        <v>12</v>
      </c>
      <c r="E1150" t="s">
        <v>14</v>
      </c>
      <c r="F1150">
        <v>2025</v>
      </c>
      <c r="G1150" s="4">
        <v>32.857142857142847</v>
      </c>
      <c r="H1150">
        <v>50</v>
      </c>
      <c r="I1150">
        <f t="shared" si="17"/>
        <v>0</v>
      </c>
    </row>
    <row r="1151" spans="1:9" x14ac:dyDescent="0.3">
      <c r="A1151">
        <v>15</v>
      </c>
      <c r="B1151">
        <v>9</v>
      </c>
      <c r="C1151" s="4">
        <v>20</v>
      </c>
      <c r="D1151" t="s">
        <v>12</v>
      </c>
      <c r="E1151" t="s">
        <v>14</v>
      </c>
      <c r="F1151">
        <v>2025</v>
      </c>
      <c r="G1151" s="4">
        <v>28.571428571428569</v>
      </c>
      <c r="H1151">
        <v>50</v>
      </c>
      <c r="I1151">
        <f t="shared" si="17"/>
        <v>0</v>
      </c>
    </row>
    <row r="1152" spans="1:9" x14ac:dyDescent="0.3">
      <c r="A1152">
        <v>16</v>
      </c>
      <c r="B1152">
        <v>9</v>
      </c>
      <c r="C1152" s="4">
        <v>20</v>
      </c>
      <c r="D1152" t="s">
        <v>12</v>
      </c>
      <c r="E1152" t="s">
        <v>14</v>
      </c>
      <c r="F1152">
        <v>2025</v>
      </c>
      <c r="G1152" s="4">
        <v>28.571428571428569</v>
      </c>
      <c r="H1152">
        <v>50</v>
      </c>
      <c r="I1152">
        <f t="shared" si="17"/>
        <v>0</v>
      </c>
    </row>
    <row r="1153" spans="1:9" x14ac:dyDescent="0.3">
      <c r="A1153">
        <v>17</v>
      </c>
      <c r="B1153">
        <v>9</v>
      </c>
      <c r="C1153" s="4">
        <v>20</v>
      </c>
      <c r="D1153" t="s">
        <v>12</v>
      </c>
      <c r="E1153" t="s">
        <v>14</v>
      </c>
      <c r="F1153">
        <v>2025</v>
      </c>
      <c r="G1153" s="4">
        <v>28.571428571428569</v>
      </c>
      <c r="H1153">
        <v>50</v>
      </c>
      <c r="I1153">
        <f t="shared" si="17"/>
        <v>0</v>
      </c>
    </row>
    <row r="1154" spans="1:9" x14ac:dyDescent="0.3">
      <c r="A1154">
        <v>18</v>
      </c>
      <c r="B1154">
        <v>9</v>
      </c>
      <c r="C1154" s="4">
        <v>19</v>
      </c>
      <c r="D1154" t="s">
        <v>11</v>
      </c>
      <c r="E1154" t="s">
        <v>14</v>
      </c>
      <c r="F1154">
        <v>2025</v>
      </c>
      <c r="G1154" s="4">
        <v>27.142857142857139</v>
      </c>
      <c r="H1154">
        <v>50</v>
      </c>
      <c r="I1154">
        <f t="shared" si="17"/>
        <v>0</v>
      </c>
    </row>
    <row r="1155" spans="1:9" x14ac:dyDescent="0.3">
      <c r="A1155">
        <v>19</v>
      </c>
      <c r="B1155">
        <v>9</v>
      </c>
      <c r="C1155" s="4">
        <v>19</v>
      </c>
      <c r="D1155" t="s">
        <v>11</v>
      </c>
      <c r="E1155" t="s">
        <v>14</v>
      </c>
      <c r="F1155">
        <v>2025</v>
      </c>
      <c r="G1155" s="4">
        <v>27.142857142857139</v>
      </c>
      <c r="H1155">
        <v>50</v>
      </c>
      <c r="I1155">
        <f t="shared" ref="I1155:I1218" si="18">IF(C1155&gt;=H1155,1,0)</f>
        <v>0</v>
      </c>
    </row>
    <row r="1156" spans="1:9" x14ac:dyDescent="0.3">
      <c r="A1156">
        <v>20</v>
      </c>
      <c r="B1156">
        <v>9</v>
      </c>
      <c r="C1156" s="4">
        <v>19</v>
      </c>
      <c r="D1156" t="s">
        <v>11</v>
      </c>
      <c r="E1156" t="s">
        <v>14</v>
      </c>
      <c r="F1156">
        <v>2025</v>
      </c>
      <c r="G1156" s="4">
        <v>27.142857142857139</v>
      </c>
      <c r="H1156">
        <v>50</v>
      </c>
      <c r="I1156">
        <f t="shared" si="18"/>
        <v>0</v>
      </c>
    </row>
    <row r="1157" spans="1:9" x14ac:dyDescent="0.3">
      <c r="A1157">
        <v>21</v>
      </c>
      <c r="B1157">
        <v>9</v>
      </c>
      <c r="C1157" s="4">
        <v>18</v>
      </c>
      <c r="D1157" t="s">
        <v>11</v>
      </c>
      <c r="E1157" t="s">
        <v>14</v>
      </c>
      <c r="F1157">
        <v>2025</v>
      </c>
      <c r="G1157" s="4">
        <v>25.714285714285712</v>
      </c>
      <c r="H1157">
        <v>50</v>
      </c>
      <c r="I1157">
        <f t="shared" si="18"/>
        <v>0</v>
      </c>
    </row>
    <row r="1158" spans="1:9" x14ac:dyDescent="0.3">
      <c r="A1158">
        <v>22</v>
      </c>
      <c r="B1158">
        <v>9</v>
      </c>
      <c r="C1158" s="4">
        <v>18</v>
      </c>
      <c r="D1158" t="s">
        <v>11</v>
      </c>
      <c r="E1158" t="s">
        <v>14</v>
      </c>
      <c r="F1158">
        <v>2025</v>
      </c>
      <c r="G1158" s="4">
        <v>25.714285714285712</v>
      </c>
      <c r="H1158">
        <v>50</v>
      </c>
      <c r="I1158">
        <f t="shared" si="18"/>
        <v>0</v>
      </c>
    </row>
    <row r="1159" spans="1:9" x14ac:dyDescent="0.3">
      <c r="A1159">
        <v>23</v>
      </c>
      <c r="B1159">
        <v>9</v>
      </c>
      <c r="C1159" s="4">
        <v>17</v>
      </c>
      <c r="D1159" t="s">
        <v>11</v>
      </c>
      <c r="E1159" t="s">
        <v>14</v>
      </c>
      <c r="F1159">
        <v>2025</v>
      </c>
      <c r="G1159" s="4">
        <v>24.285714285714281</v>
      </c>
      <c r="H1159">
        <v>50</v>
      </c>
      <c r="I1159">
        <f t="shared" si="18"/>
        <v>0</v>
      </c>
    </row>
    <row r="1160" spans="1:9" x14ac:dyDescent="0.3">
      <c r="A1160">
        <v>24</v>
      </c>
      <c r="B1160">
        <v>9</v>
      </c>
      <c r="C1160" s="4">
        <v>16</v>
      </c>
      <c r="D1160" t="s">
        <v>11</v>
      </c>
      <c r="E1160" t="s">
        <v>14</v>
      </c>
      <c r="F1160">
        <v>2025</v>
      </c>
      <c r="G1160" s="4">
        <v>22.857142857142861</v>
      </c>
      <c r="H1160">
        <v>50</v>
      </c>
      <c r="I1160">
        <f t="shared" si="18"/>
        <v>0</v>
      </c>
    </row>
    <row r="1161" spans="1:9" x14ac:dyDescent="0.3">
      <c r="A1161">
        <v>25</v>
      </c>
      <c r="B1161">
        <v>9</v>
      </c>
      <c r="C1161" s="4">
        <v>16</v>
      </c>
      <c r="D1161" t="s">
        <v>11</v>
      </c>
      <c r="E1161" t="s">
        <v>14</v>
      </c>
      <c r="F1161">
        <v>2025</v>
      </c>
      <c r="G1161" s="4">
        <v>22.857142857142861</v>
      </c>
      <c r="H1161">
        <v>50</v>
      </c>
      <c r="I1161">
        <f t="shared" si="18"/>
        <v>0</v>
      </c>
    </row>
    <row r="1162" spans="1:9" x14ac:dyDescent="0.3">
      <c r="A1162">
        <v>26</v>
      </c>
      <c r="B1162">
        <v>9</v>
      </c>
      <c r="C1162" s="4">
        <v>15</v>
      </c>
      <c r="D1162" t="s">
        <v>11</v>
      </c>
      <c r="E1162" t="s">
        <v>14</v>
      </c>
      <c r="F1162">
        <v>2025</v>
      </c>
      <c r="G1162" s="4">
        <v>21.428571428571431</v>
      </c>
      <c r="H1162">
        <v>50</v>
      </c>
      <c r="I1162">
        <f t="shared" si="18"/>
        <v>0</v>
      </c>
    </row>
    <row r="1163" spans="1:9" x14ac:dyDescent="0.3">
      <c r="A1163">
        <v>27</v>
      </c>
      <c r="B1163">
        <v>9</v>
      </c>
      <c r="C1163" s="4">
        <v>15</v>
      </c>
      <c r="D1163" t="s">
        <v>11</v>
      </c>
      <c r="E1163" t="s">
        <v>14</v>
      </c>
      <c r="F1163">
        <v>2025</v>
      </c>
      <c r="G1163" s="4">
        <v>21.428571428571431</v>
      </c>
      <c r="H1163">
        <v>50</v>
      </c>
      <c r="I1163">
        <f t="shared" si="18"/>
        <v>0</v>
      </c>
    </row>
    <row r="1164" spans="1:9" x14ac:dyDescent="0.3">
      <c r="A1164">
        <v>28</v>
      </c>
      <c r="B1164">
        <v>9</v>
      </c>
      <c r="C1164" s="4">
        <v>14</v>
      </c>
      <c r="D1164" t="s">
        <v>11</v>
      </c>
      <c r="E1164" t="s">
        <v>14</v>
      </c>
      <c r="F1164">
        <v>2025</v>
      </c>
      <c r="G1164" s="4">
        <v>20</v>
      </c>
      <c r="H1164">
        <v>50</v>
      </c>
      <c r="I1164">
        <f t="shared" si="18"/>
        <v>0</v>
      </c>
    </row>
    <row r="1165" spans="1:9" x14ac:dyDescent="0.3">
      <c r="A1165">
        <v>29</v>
      </c>
      <c r="B1165">
        <v>9</v>
      </c>
      <c r="C1165" s="4">
        <v>13</v>
      </c>
      <c r="D1165" t="s">
        <v>11</v>
      </c>
      <c r="E1165" t="s">
        <v>14</v>
      </c>
      <c r="F1165">
        <v>2025</v>
      </c>
      <c r="G1165" s="4">
        <v>18.571428571428569</v>
      </c>
      <c r="H1165">
        <v>50</v>
      </c>
      <c r="I1165">
        <f t="shared" si="18"/>
        <v>0</v>
      </c>
    </row>
    <row r="1166" spans="1:9" x14ac:dyDescent="0.3">
      <c r="A1166">
        <v>30</v>
      </c>
      <c r="B1166">
        <v>9</v>
      </c>
      <c r="C1166" s="4">
        <v>12</v>
      </c>
      <c r="D1166" t="s">
        <v>11</v>
      </c>
      <c r="E1166" t="s">
        <v>14</v>
      </c>
      <c r="F1166">
        <v>2025</v>
      </c>
      <c r="G1166" s="4">
        <v>17.142857142857139</v>
      </c>
      <c r="H1166">
        <v>50</v>
      </c>
      <c r="I1166">
        <f t="shared" si="18"/>
        <v>0</v>
      </c>
    </row>
    <row r="1167" spans="1:9" x14ac:dyDescent="0.3">
      <c r="A1167">
        <v>31</v>
      </c>
      <c r="B1167">
        <v>9</v>
      </c>
      <c r="C1167" s="4">
        <v>11</v>
      </c>
      <c r="D1167" t="s">
        <v>11</v>
      </c>
      <c r="E1167" t="s">
        <v>14</v>
      </c>
      <c r="F1167">
        <v>2025</v>
      </c>
      <c r="G1167" s="4">
        <v>15.71428571428571</v>
      </c>
      <c r="H1167">
        <v>50</v>
      </c>
      <c r="I1167">
        <f t="shared" si="18"/>
        <v>0</v>
      </c>
    </row>
    <row r="1168" spans="1:9" x14ac:dyDescent="0.3">
      <c r="A1168">
        <v>32</v>
      </c>
      <c r="B1168">
        <v>9</v>
      </c>
      <c r="C1168" s="4">
        <v>9</v>
      </c>
      <c r="D1168" t="s">
        <v>11</v>
      </c>
      <c r="E1168" t="s">
        <v>14</v>
      </c>
      <c r="F1168">
        <v>2025</v>
      </c>
      <c r="G1168" s="4">
        <v>12.857142857142859</v>
      </c>
      <c r="H1168">
        <v>50</v>
      </c>
      <c r="I1168">
        <f t="shared" si="18"/>
        <v>0</v>
      </c>
    </row>
    <row r="1169" spans="1:9" x14ac:dyDescent="0.3">
      <c r="A1169">
        <v>33</v>
      </c>
      <c r="B1169">
        <v>9</v>
      </c>
      <c r="C1169" s="4">
        <v>9</v>
      </c>
      <c r="D1169" t="s">
        <v>11</v>
      </c>
      <c r="E1169" t="s">
        <v>14</v>
      </c>
      <c r="F1169">
        <v>2025</v>
      </c>
      <c r="G1169" s="4">
        <v>12.857142857142859</v>
      </c>
      <c r="H1169">
        <v>50</v>
      </c>
      <c r="I1169">
        <f t="shared" si="18"/>
        <v>0</v>
      </c>
    </row>
    <row r="1170" spans="1:9" x14ac:dyDescent="0.3">
      <c r="A1170">
        <v>34</v>
      </c>
      <c r="B1170">
        <v>9</v>
      </c>
      <c r="C1170" s="4">
        <v>7</v>
      </c>
      <c r="D1170" t="s">
        <v>11</v>
      </c>
      <c r="E1170" t="s">
        <v>14</v>
      </c>
      <c r="F1170">
        <v>2025</v>
      </c>
      <c r="G1170" s="4">
        <v>10</v>
      </c>
      <c r="H1170">
        <v>50</v>
      </c>
      <c r="I1170">
        <f t="shared" si="18"/>
        <v>0</v>
      </c>
    </row>
    <row r="1171" spans="1:9" x14ac:dyDescent="0.3">
      <c r="A1171">
        <v>35</v>
      </c>
      <c r="B1171">
        <v>9</v>
      </c>
      <c r="C1171" s="4">
        <v>1</v>
      </c>
      <c r="D1171" t="s">
        <v>11</v>
      </c>
      <c r="E1171" t="s">
        <v>14</v>
      </c>
      <c r="F1171">
        <v>2025</v>
      </c>
      <c r="G1171" s="4">
        <v>1.428571428571429</v>
      </c>
      <c r="H1171">
        <v>50</v>
      </c>
      <c r="I1171">
        <f t="shared" si="18"/>
        <v>0</v>
      </c>
    </row>
    <row r="1172" spans="1:9" x14ac:dyDescent="0.3">
      <c r="A1172">
        <v>36</v>
      </c>
      <c r="B1172">
        <v>9</v>
      </c>
      <c r="C1172" s="4">
        <v>0</v>
      </c>
      <c r="D1172" t="s">
        <v>11</v>
      </c>
      <c r="E1172" t="s">
        <v>14</v>
      </c>
      <c r="F1172">
        <v>2025</v>
      </c>
      <c r="G1172" s="4">
        <v>0</v>
      </c>
      <c r="H1172">
        <v>50</v>
      </c>
      <c r="I1172">
        <f t="shared" si="18"/>
        <v>0</v>
      </c>
    </row>
    <row r="1173" spans="1:9" x14ac:dyDescent="0.3">
      <c r="A1173">
        <v>37</v>
      </c>
      <c r="B1173">
        <v>9</v>
      </c>
      <c r="C1173" s="4">
        <v>0</v>
      </c>
      <c r="D1173" t="s">
        <v>11</v>
      </c>
      <c r="E1173" t="s">
        <v>14</v>
      </c>
      <c r="F1173">
        <v>2025</v>
      </c>
      <c r="G1173" s="4">
        <v>0</v>
      </c>
      <c r="H1173">
        <v>50</v>
      </c>
      <c r="I1173">
        <f t="shared" si="18"/>
        <v>0</v>
      </c>
    </row>
    <row r="1174" spans="1:9" x14ac:dyDescent="0.3">
      <c r="A1174">
        <v>38</v>
      </c>
      <c r="B1174">
        <v>9</v>
      </c>
      <c r="C1174" s="4">
        <v>0</v>
      </c>
      <c r="D1174" t="s">
        <v>11</v>
      </c>
      <c r="E1174" t="s">
        <v>14</v>
      </c>
      <c r="F1174">
        <v>2025</v>
      </c>
      <c r="G1174" s="4">
        <v>0</v>
      </c>
      <c r="H1174">
        <v>50</v>
      </c>
      <c r="I1174">
        <f t="shared" si="18"/>
        <v>0</v>
      </c>
    </row>
    <row r="1175" spans="1:9" x14ac:dyDescent="0.3">
      <c r="A1175">
        <v>1</v>
      </c>
      <c r="B1175">
        <v>10</v>
      </c>
      <c r="C1175" s="4">
        <v>39</v>
      </c>
      <c r="D1175" t="s">
        <v>8</v>
      </c>
      <c r="E1175" t="s">
        <v>14</v>
      </c>
      <c r="F1175">
        <v>2025</v>
      </c>
      <c r="G1175" s="4">
        <v>55.714285714285722</v>
      </c>
      <c r="H1175">
        <v>46</v>
      </c>
      <c r="I1175">
        <f t="shared" si="18"/>
        <v>0</v>
      </c>
    </row>
    <row r="1176" spans="1:9" x14ac:dyDescent="0.3">
      <c r="A1176">
        <v>2</v>
      </c>
      <c r="B1176">
        <v>10</v>
      </c>
      <c r="C1176" s="4">
        <v>37</v>
      </c>
      <c r="D1176" t="s">
        <v>8</v>
      </c>
      <c r="E1176" t="s">
        <v>14</v>
      </c>
      <c r="F1176">
        <v>2025</v>
      </c>
      <c r="G1176" s="4">
        <v>52.857142857142861</v>
      </c>
      <c r="H1176">
        <v>46</v>
      </c>
      <c r="I1176">
        <f t="shared" si="18"/>
        <v>0</v>
      </c>
    </row>
    <row r="1177" spans="1:9" x14ac:dyDescent="0.3">
      <c r="A1177">
        <v>3</v>
      </c>
      <c r="B1177">
        <v>10</v>
      </c>
      <c r="C1177" s="4">
        <v>31</v>
      </c>
      <c r="D1177" t="s">
        <v>12</v>
      </c>
      <c r="E1177" t="s">
        <v>14</v>
      </c>
      <c r="F1177">
        <v>2025</v>
      </c>
      <c r="G1177" s="4">
        <v>44.285714285714278</v>
      </c>
      <c r="H1177">
        <v>46</v>
      </c>
      <c r="I1177">
        <f t="shared" si="18"/>
        <v>0</v>
      </c>
    </row>
    <row r="1178" spans="1:9" x14ac:dyDescent="0.3">
      <c r="A1178">
        <v>4</v>
      </c>
      <c r="B1178">
        <v>10</v>
      </c>
      <c r="C1178" s="4">
        <v>28</v>
      </c>
      <c r="D1178" t="s">
        <v>12</v>
      </c>
      <c r="E1178" t="s">
        <v>14</v>
      </c>
      <c r="F1178">
        <v>2025</v>
      </c>
      <c r="G1178" s="4">
        <v>40</v>
      </c>
      <c r="H1178">
        <v>46</v>
      </c>
      <c r="I1178">
        <f t="shared" si="18"/>
        <v>0</v>
      </c>
    </row>
    <row r="1179" spans="1:9" x14ac:dyDescent="0.3">
      <c r="A1179">
        <v>5</v>
      </c>
      <c r="B1179">
        <v>10</v>
      </c>
      <c r="C1179" s="4">
        <v>28</v>
      </c>
      <c r="D1179" t="s">
        <v>12</v>
      </c>
      <c r="E1179" t="s">
        <v>14</v>
      </c>
      <c r="F1179">
        <v>2025</v>
      </c>
      <c r="G1179" s="4">
        <v>40</v>
      </c>
      <c r="H1179">
        <v>46</v>
      </c>
      <c r="I1179">
        <f t="shared" si="18"/>
        <v>0</v>
      </c>
    </row>
    <row r="1180" spans="1:9" x14ac:dyDescent="0.3">
      <c r="A1180">
        <v>6</v>
      </c>
      <c r="B1180">
        <v>10</v>
      </c>
      <c r="C1180" s="4">
        <v>28</v>
      </c>
      <c r="D1180" t="s">
        <v>12</v>
      </c>
      <c r="E1180" t="s">
        <v>14</v>
      </c>
      <c r="F1180">
        <v>2025</v>
      </c>
      <c r="G1180" s="4">
        <v>40</v>
      </c>
      <c r="H1180">
        <v>46</v>
      </c>
      <c r="I1180">
        <f t="shared" si="18"/>
        <v>0</v>
      </c>
    </row>
    <row r="1181" spans="1:9" x14ac:dyDescent="0.3">
      <c r="A1181">
        <v>7</v>
      </c>
      <c r="B1181">
        <v>10</v>
      </c>
      <c r="C1181" s="4">
        <v>28</v>
      </c>
      <c r="D1181" t="s">
        <v>12</v>
      </c>
      <c r="E1181" t="s">
        <v>14</v>
      </c>
      <c r="F1181">
        <v>2025</v>
      </c>
      <c r="G1181" s="4">
        <v>40</v>
      </c>
      <c r="H1181">
        <v>46</v>
      </c>
      <c r="I1181">
        <f t="shared" si="18"/>
        <v>0</v>
      </c>
    </row>
    <row r="1182" spans="1:9" x14ac:dyDescent="0.3">
      <c r="A1182">
        <v>8</v>
      </c>
      <c r="B1182">
        <v>10</v>
      </c>
      <c r="C1182" s="4">
        <v>26</v>
      </c>
      <c r="D1182" t="s">
        <v>12</v>
      </c>
      <c r="E1182" t="s">
        <v>14</v>
      </c>
      <c r="F1182">
        <v>2025</v>
      </c>
      <c r="G1182" s="4">
        <v>37.142857142857153</v>
      </c>
      <c r="H1182">
        <v>46</v>
      </c>
      <c r="I1182">
        <f t="shared" si="18"/>
        <v>0</v>
      </c>
    </row>
    <row r="1183" spans="1:9" x14ac:dyDescent="0.3">
      <c r="A1183">
        <v>9</v>
      </c>
      <c r="B1183">
        <v>10</v>
      </c>
      <c r="C1183" s="4">
        <v>25</v>
      </c>
      <c r="D1183" t="s">
        <v>12</v>
      </c>
      <c r="E1183" t="s">
        <v>14</v>
      </c>
      <c r="F1183">
        <v>2025</v>
      </c>
      <c r="G1183" s="4">
        <v>35.714285714285722</v>
      </c>
      <c r="H1183">
        <v>46</v>
      </c>
      <c r="I1183">
        <f t="shared" si="18"/>
        <v>0</v>
      </c>
    </row>
    <row r="1184" spans="1:9" x14ac:dyDescent="0.3">
      <c r="A1184">
        <v>10</v>
      </c>
      <c r="B1184">
        <v>10</v>
      </c>
      <c r="C1184" s="4">
        <v>25</v>
      </c>
      <c r="D1184" t="s">
        <v>12</v>
      </c>
      <c r="E1184" t="s">
        <v>14</v>
      </c>
      <c r="F1184">
        <v>2025</v>
      </c>
      <c r="G1184" s="4">
        <v>35.714285714285722</v>
      </c>
      <c r="H1184">
        <v>46</v>
      </c>
      <c r="I1184">
        <f t="shared" si="18"/>
        <v>0</v>
      </c>
    </row>
    <row r="1185" spans="1:9" x14ac:dyDescent="0.3">
      <c r="A1185">
        <v>11</v>
      </c>
      <c r="B1185">
        <v>10</v>
      </c>
      <c r="C1185" s="4">
        <v>22</v>
      </c>
      <c r="D1185" t="s">
        <v>12</v>
      </c>
      <c r="E1185" t="s">
        <v>14</v>
      </c>
      <c r="F1185">
        <v>2025</v>
      </c>
      <c r="G1185" s="4">
        <v>31.428571428571431</v>
      </c>
      <c r="H1185">
        <v>46</v>
      </c>
      <c r="I1185">
        <f t="shared" si="18"/>
        <v>0</v>
      </c>
    </row>
    <row r="1186" spans="1:9" x14ac:dyDescent="0.3">
      <c r="A1186">
        <v>12</v>
      </c>
      <c r="B1186">
        <v>10</v>
      </c>
      <c r="C1186" s="4">
        <v>22</v>
      </c>
      <c r="D1186" t="s">
        <v>12</v>
      </c>
      <c r="E1186" t="s">
        <v>14</v>
      </c>
      <c r="F1186">
        <v>2025</v>
      </c>
      <c r="G1186" s="4">
        <v>31.428571428571431</v>
      </c>
      <c r="H1186">
        <v>46</v>
      </c>
      <c r="I1186">
        <f t="shared" si="18"/>
        <v>0</v>
      </c>
    </row>
    <row r="1187" spans="1:9" x14ac:dyDescent="0.3">
      <c r="A1187">
        <v>13</v>
      </c>
      <c r="B1187">
        <v>10</v>
      </c>
      <c r="C1187" s="4">
        <v>21</v>
      </c>
      <c r="D1187" t="s">
        <v>12</v>
      </c>
      <c r="E1187" t="s">
        <v>14</v>
      </c>
      <c r="F1187">
        <v>2025</v>
      </c>
      <c r="G1187" s="4">
        <v>30</v>
      </c>
      <c r="H1187">
        <v>46</v>
      </c>
      <c r="I1187">
        <f t="shared" si="18"/>
        <v>0</v>
      </c>
    </row>
    <row r="1188" spans="1:9" x14ac:dyDescent="0.3">
      <c r="A1188">
        <v>14</v>
      </c>
      <c r="B1188">
        <v>10</v>
      </c>
      <c r="C1188" s="4">
        <v>20</v>
      </c>
      <c r="D1188" t="s">
        <v>11</v>
      </c>
      <c r="E1188" t="s">
        <v>14</v>
      </c>
      <c r="F1188">
        <v>2025</v>
      </c>
      <c r="G1188" s="4">
        <v>28.571428571428569</v>
      </c>
      <c r="H1188">
        <v>46</v>
      </c>
      <c r="I1188">
        <f t="shared" si="18"/>
        <v>0</v>
      </c>
    </row>
    <row r="1189" spans="1:9" x14ac:dyDescent="0.3">
      <c r="A1189">
        <v>15</v>
      </c>
      <c r="B1189">
        <v>10</v>
      </c>
      <c r="C1189" s="4">
        <v>17</v>
      </c>
      <c r="D1189" t="s">
        <v>11</v>
      </c>
      <c r="E1189" t="s">
        <v>14</v>
      </c>
      <c r="F1189">
        <v>2025</v>
      </c>
      <c r="G1189" s="4">
        <v>24.285714285714281</v>
      </c>
      <c r="H1189">
        <v>46</v>
      </c>
      <c r="I1189">
        <f t="shared" si="18"/>
        <v>0</v>
      </c>
    </row>
    <row r="1190" spans="1:9" x14ac:dyDescent="0.3">
      <c r="A1190">
        <v>16</v>
      </c>
      <c r="B1190">
        <v>10</v>
      </c>
      <c r="C1190" s="4">
        <v>16</v>
      </c>
      <c r="D1190" t="s">
        <v>11</v>
      </c>
      <c r="E1190" t="s">
        <v>14</v>
      </c>
      <c r="F1190">
        <v>2025</v>
      </c>
      <c r="G1190" s="4">
        <v>22.857142857142861</v>
      </c>
      <c r="H1190">
        <v>46</v>
      </c>
      <c r="I1190">
        <f t="shared" si="18"/>
        <v>0</v>
      </c>
    </row>
    <row r="1191" spans="1:9" x14ac:dyDescent="0.3">
      <c r="A1191">
        <v>17</v>
      </c>
      <c r="B1191">
        <v>10</v>
      </c>
      <c r="C1191" s="4">
        <v>15</v>
      </c>
      <c r="D1191" t="s">
        <v>11</v>
      </c>
      <c r="E1191" t="s">
        <v>14</v>
      </c>
      <c r="F1191">
        <v>2025</v>
      </c>
      <c r="G1191" s="4">
        <v>21.428571428571431</v>
      </c>
      <c r="H1191">
        <v>46</v>
      </c>
      <c r="I1191">
        <f t="shared" si="18"/>
        <v>0</v>
      </c>
    </row>
    <row r="1192" spans="1:9" x14ac:dyDescent="0.3">
      <c r="A1192">
        <v>18</v>
      </c>
      <c r="B1192">
        <v>10</v>
      </c>
      <c r="C1192" s="4">
        <v>15</v>
      </c>
      <c r="D1192" t="s">
        <v>11</v>
      </c>
      <c r="E1192" t="s">
        <v>14</v>
      </c>
      <c r="F1192">
        <v>2025</v>
      </c>
      <c r="G1192" s="4">
        <v>21.428571428571431</v>
      </c>
      <c r="H1192">
        <v>46</v>
      </c>
      <c r="I1192">
        <f t="shared" si="18"/>
        <v>0</v>
      </c>
    </row>
    <row r="1193" spans="1:9" x14ac:dyDescent="0.3">
      <c r="A1193">
        <v>19</v>
      </c>
      <c r="B1193">
        <v>10</v>
      </c>
      <c r="C1193" s="4">
        <v>13</v>
      </c>
      <c r="D1193" t="s">
        <v>11</v>
      </c>
      <c r="E1193" t="s">
        <v>14</v>
      </c>
      <c r="F1193">
        <v>2025</v>
      </c>
      <c r="G1193" s="4">
        <v>18.571428571428569</v>
      </c>
      <c r="H1193">
        <v>46</v>
      </c>
      <c r="I1193">
        <f t="shared" si="18"/>
        <v>0</v>
      </c>
    </row>
    <row r="1194" spans="1:9" x14ac:dyDescent="0.3">
      <c r="A1194">
        <v>20</v>
      </c>
      <c r="B1194">
        <v>10</v>
      </c>
      <c r="C1194" s="4">
        <v>12</v>
      </c>
      <c r="D1194" t="s">
        <v>11</v>
      </c>
      <c r="E1194" t="s">
        <v>14</v>
      </c>
      <c r="F1194">
        <v>2025</v>
      </c>
      <c r="G1194" s="4">
        <v>17.142857142857139</v>
      </c>
      <c r="H1194">
        <v>46</v>
      </c>
      <c r="I1194">
        <f t="shared" si="18"/>
        <v>0</v>
      </c>
    </row>
    <row r="1195" spans="1:9" x14ac:dyDescent="0.3">
      <c r="A1195">
        <v>21</v>
      </c>
      <c r="B1195">
        <v>10</v>
      </c>
      <c r="C1195" s="4">
        <v>10</v>
      </c>
      <c r="D1195" t="s">
        <v>11</v>
      </c>
      <c r="E1195" t="s">
        <v>14</v>
      </c>
      <c r="F1195">
        <v>2025</v>
      </c>
      <c r="G1195" s="4">
        <v>14.285714285714279</v>
      </c>
      <c r="H1195">
        <v>46</v>
      </c>
      <c r="I1195">
        <f t="shared" si="18"/>
        <v>0</v>
      </c>
    </row>
    <row r="1196" spans="1:9" x14ac:dyDescent="0.3">
      <c r="A1196">
        <v>22</v>
      </c>
      <c r="B1196">
        <v>10</v>
      </c>
      <c r="C1196" s="4">
        <v>9</v>
      </c>
      <c r="D1196" t="s">
        <v>11</v>
      </c>
      <c r="E1196" t="s">
        <v>14</v>
      </c>
      <c r="F1196">
        <v>2025</v>
      </c>
      <c r="G1196" s="4">
        <v>12.857142857142859</v>
      </c>
      <c r="H1196">
        <v>46</v>
      </c>
      <c r="I1196">
        <f t="shared" si="18"/>
        <v>0</v>
      </c>
    </row>
    <row r="1197" spans="1:9" x14ac:dyDescent="0.3">
      <c r="A1197">
        <v>23</v>
      </c>
      <c r="B1197">
        <v>10</v>
      </c>
      <c r="C1197" s="4">
        <v>8</v>
      </c>
      <c r="D1197" t="s">
        <v>11</v>
      </c>
      <c r="E1197" t="s">
        <v>14</v>
      </c>
      <c r="F1197">
        <v>2025</v>
      </c>
      <c r="G1197" s="4">
        <v>11.428571428571431</v>
      </c>
      <c r="H1197">
        <v>46</v>
      </c>
      <c r="I1197">
        <f t="shared" si="18"/>
        <v>0</v>
      </c>
    </row>
    <row r="1198" spans="1:9" x14ac:dyDescent="0.3">
      <c r="A1198">
        <v>24</v>
      </c>
      <c r="B1198">
        <v>10</v>
      </c>
      <c r="C1198" s="4">
        <v>8</v>
      </c>
      <c r="D1198" t="s">
        <v>11</v>
      </c>
      <c r="E1198" t="s">
        <v>14</v>
      </c>
      <c r="F1198">
        <v>2025</v>
      </c>
      <c r="G1198" s="4">
        <v>11.428571428571431</v>
      </c>
      <c r="H1198">
        <v>46</v>
      </c>
      <c r="I1198">
        <f t="shared" si="18"/>
        <v>0</v>
      </c>
    </row>
    <row r="1199" spans="1:9" x14ac:dyDescent="0.3">
      <c r="A1199">
        <v>25</v>
      </c>
      <c r="B1199">
        <v>10</v>
      </c>
      <c r="C1199" s="4">
        <v>8</v>
      </c>
      <c r="D1199" t="s">
        <v>11</v>
      </c>
      <c r="E1199" t="s">
        <v>14</v>
      </c>
      <c r="F1199">
        <v>2025</v>
      </c>
      <c r="G1199" s="4">
        <v>11.428571428571431</v>
      </c>
      <c r="H1199">
        <v>46</v>
      </c>
      <c r="I1199">
        <f t="shared" si="18"/>
        <v>0</v>
      </c>
    </row>
    <row r="1200" spans="1:9" x14ac:dyDescent="0.3">
      <c r="A1200">
        <v>26</v>
      </c>
      <c r="B1200">
        <v>10</v>
      </c>
      <c r="C1200" s="4">
        <v>7</v>
      </c>
      <c r="D1200" t="s">
        <v>11</v>
      </c>
      <c r="E1200" t="s">
        <v>14</v>
      </c>
      <c r="F1200">
        <v>2025</v>
      </c>
      <c r="G1200" s="4">
        <v>10</v>
      </c>
      <c r="H1200">
        <v>46</v>
      </c>
      <c r="I1200">
        <f t="shared" si="18"/>
        <v>0</v>
      </c>
    </row>
    <row r="1201" spans="1:9" x14ac:dyDescent="0.3">
      <c r="A1201">
        <v>27</v>
      </c>
      <c r="B1201">
        <v>10</v>
      </c>
      <c r="C1201" s="4">
        <v>6</v>
      </c>
      <c r="D1201" t="s">
        <v>11</v>
      </c>
      <c r="E1201" t="s">
        <v>14</v>
      </c>
      <c r="F1201">
        <v>2025</v>
      </c>
      <c r="G1201" s="4">
        <v>8.5714285714285712</v>
      </c>
      <c r="H1201">
        <v>46</v>
      </c>
      <c r="I1201">
        <f t="shared" si="18"/>
        <v>0</v>
      </c>
    </row>
    <row r="1202" spans="1:9" x14ac:dyDescent="0.3">
      <c r="A1202">
        <v>28</v>
      </c>
      <c r="B1202">
        <v>10</v>
      </c>
      <c r="C1202" s="4">
        <v>0</v>
      </c>
      <c r="D1202" t="s">
        <v>11</v>
      </c>
      <c r="E1202" t="s">
        <v>14</v>
      </c>
      <c r="F1202">
        <v>2025</v>
      </c>
      <c r="G1202" s="4">
        <v>0</v>
      </c>
      <c r="H1202">
        <v>46</v>
      </c>
      <c r="I1202">
        <f t="shared" si="18"/>
        <v>0</v>
      </c>
    </row>
    <row r="1203" spans="1:9" x14ac:dyDescent="0.3">
      <c r="A1203">
        <v>29</v>
      </c>
      <c r="B1203">
        <v>10</v>
      </c>
      <c r="C1203" s="4">
        <v>0</v>
      </c>
      <c r="D1203" t="s">
        <v>11</v>
      </c>
      <c r="E1203" t="s">
        <v>14</v>
      </c>
      <c r="F1203">
        <v>2025</v>
      </c>
      <c r="G1203" s="4">
        <v>0</v>
      </c>
      <c r="H1203">
        <v>46</v>
      </c>
      <c r="I1203">
        <f t="shared" si="18"/>
        <v>0</v>
      </c>
    </row>
    <row r="1204" spans="1:9" x14ac:dyDescent="0.3">
      <c r="A1204">
        <v>30</v>
      </c>
      <c r="B1204">
        <v>10</v>
      </c>
      <c r="C1204" s="4">
        <v>0</v>
      </c>
      <c r="D1204" t="s">
        <v>11</v>
      </c>
      <c r="E1204" t="s">
        <v>14</v>
      </c>
      <c r="F1204">
        <v>2025</v>
      </c>
      <c r="G1204" s="4">
        <v>0</v>
      </c>
      <c r="H1204">
        <v>46</v>
      </c>
      <c r="I1204">
        <f t="shared" si="18"/>
        <v>0</v>
      </c>
    </row>
    <row r="1205" spans="1:9" x14ac:dyDescent="0.3">
      <c r="A1205">
        <v>31</v>
      </c>
      <c r="B1205">
        <v>10</v>
      </c>
      <c r="C1205" s="4">
        <v>0</v>
      </c>
      <c r="D1205" t="s">
        <v>11</v>
      </c>
      <c r="E1205" t="s">
        <v>14</v>
      </c>
      <c r="F1205">
        <v>2025</v>
      </c>
      <c r="G1205" s="4">
        <v>0</v>
      </c>
      <c r="H1205">
        <v>46</v>
      </c>
      <c r="I1205">
        <f t="shared" si="18"/>
        <v>0</v>
      </c>
    </row>
    <row r="1206" spans="1:9" x14ac:dyDescent="0.3">
      <c r="A1206">
        <v>1</v>
      </c>
      <c r="B1206">
        <v>11</v>
      </c>
      <c r="C1206" s="4">
        <v>49</v>
      </c>
      <c r="D1206" t="s">
        <v>8</v>
      </c>
      <c r="E1206" t="s">
        <v>14</v>
      </c>
      <c r="F1206">
        <v>2025</v>
      </c>
      <c r="G1206" s="4">
        <v>70</v>
      </c>
      <c r="H1206">
        <v>43</v>
      </c>
      <c r="I1206">
        <f t="shared" si="18"/>
        <v>1</v>
      </c>
    </row>
    <row r="1207" spans="1:9" x14ac:dyDescent="0.3">
      <c r="A1207">
        <v>2</v>
      </c>
      <c r="B1207">
        <v>11</v>
      </c>
      <c r="C1207" s="4">
        <v>35</v>
      </c>
      <c r="D1207" t="s">
        <v>12</v>
      </c>
      <c r="E1207" t="s">
        <v>14</v>
      </c>
      <c r="F1207">
        <v>2025</v>
      </c>
      <c r="G1207" s="4">
        <v>50</v>
      </c>
      <c r="H1207">
        <v>43</v>
      </c>
      <c r="I1207">
        <f t="shared" si="18"/>
        <v>0</v>
      </c>
    </row>
    <row r="1208" spans="1:9" x14ac:dyDescent="0.3">
      <c r="A1208">
        <v>3</v>
      </c>
      <c r="B1208">
        <v>11</v>
      </c>
      <c r="C1208" s="4">
        <v>30</v>
      </c>
      <c r="D1208" t="s">
        <v>12</v>
      </c>
      <c r="E1208" t="s">
        <v>14</v>
      </c>
      <c r="F1208">
        <v>2025</v>
      </c>
      <c r="G1208" s="4">
        <v>42.857142857142847</v>
      </c>
      <c r="H1208">
        <v>43</v>
      </c>
      <c r="I1208">
        <f t="shared" si="18"/>
        <v>0</v>
      </c>
    </row>
    <row r="1209" spans="1:9" x14ac:dyDescent="0.3">
      <c r="A1209">
        <v>4</v>
      </c>
      <c r="B1209">
        <v>11</v>
      </c>
      <c r="C1209" s="4">
        <v>29</v>
      </c>
      <c r="D1209" t="s">
        <v>12</v>
      </c>
      <c r="E1209" t="s">
        <v>14</v>
      </c>
      <c r="F1209">
        <v>2025</v>
      </c>
      <c r="G1209" s="4">
        <v>41.428571428571431</v>
      </c>
      <c r="H1209">
        <v>43</v>
      </c>
      <c r="I1209">
        <f t="shared" si="18"/>
        <v>0</v>
      </c>
    </row>
    <row r="1210" spans="1:9" x14ac:dyDescent="0.3">
      <c r="A1210">
        <v>5</v>
      </c>
      <c r="B1210">
        <v>11</v>
      </c>
      <c r="C1210" s="4">
        <v>28</v>
      </c>
      <c r="D1210" t="s">
        <v>12</v>
      </c>
      <c r="E1210" t="s">
        <v>14</v>
      </c>
      <c r="F1210">
        <v>2025</v>
      </c>
      <c r="G1210" s="4">
        <v>40</v>
      </c>
      <c r="H1210">
        <v>43</v>
      </c>
      <c r="I1210">
        <f t="shared" si="18"/>
        <v>0</v>
      </c>
    </row>
    <row r="1211" spans="1:9" x14ac:dyDescent="0.3">
      <c r="A1211">
        <v>6</v>
      </c>
      <c r="B1211">
        <v>11</v>
      </c>
      <c r="C1211" s="4">
        <v>28</v>
      </c>
      <c r="D1211" t="s">
        <v>12</v>
      </c>
      <c r="E1211" t="s">
        <v>14</v>
      </c>
      <c r="F1211">
        <v>2025</v>
      </c>
      <c r="G1211" s="4">
        <v>40</v>
      </c>
      <c r="H1211">
        <v>43</v>
      </c>
      <c r="I1211">
        <f t="shared" si="18"/>
        <v>0</v>
      </c>
    </row>
    <row r="1212" spans="1:9" x14ac:dyDescent="0.3">
      <c r="A1212">
        <v>7</v>
      </c>
      <c r="B1212">
        <v>11</v>
      </c>
      <c r="C1212" s="4">
        <v>27</v>
      </c>
      <c r="D1212" t="s">
        <v>12</v>
      </c>
      <c r="E1212" t="s">
        <v>14</v>
      </c>
      <c r="F1212">
        <v>2025</v>
      </c>
      <c r="G1212" s="4">
        <v>38.571428571428577</v>
      </c>
      <c r="H1212">
        <v>43</v>
      </c>
      <c r="I1212">
        <f t="shared" si="18"/>
        <v>0</v>
      </c>
    </row>
    <row r="1213" spans="1:9" x14ac:dyDescent="0.3">
      <c r="A1213">
        <v>8</v>
      </c>
      <c r="B1213">
        <v>11</v>
      </c>
      <c r="C1213" s="4">
        <v>27</v>
      </c>
      <c r="D1213" t="s">
        <v>12</v>
      </c>
      <c r="E1213" t="s">
        <v>14</v>
      </c>
      <c r="F1213">
        <v>2025</v>
      </c>
      <c r="G1213" s="4">
        <v>38.571428571428577</v>
      </c>
      <c r="H1213">
        <v>43</v>
      </c>
      <c r="I1213">
        <f t="shared" si="18"/>
        <v>0</v>
      </c>
    </row>
    <row r="1214" spans="1:9" x14ac:dyDescent="0.3">
      <c r="A1214">
        <v>9</v>
      </c>
      <c r="B1214">
        <v>11</v>
      </c>
      <c r="C1214" s="4">
        <v>25</v>
      </c>
      <c r="D1214" t="s">
        <v>12</v>
      </c>
      <c r="E1214" t="s">
        <v>14</v>
      </c>
      <c r="F1214">
        <v>2025</v>
      </c>
      <c r="G1214" s="4">
        <v>35.714285714285722</v>
      </c>
      <c r="H1214">
        <v>43</v>
      </c>
      <c r="I1214">
        <f t="shared" si="18"/>
        <v>0</v>
      </c>
    </row>
    <row r="1215" spans="1:9" x14ac:dyDescent="0.3">
      <c r="A1215">
        <v>10</v>
      </c>
      <c r="B1215">
        <v>11</v>
      </c>
      <c r="C1215" s="4">
        <v>25</v>
      </c>
      <c r="D1215" t="s">
        <v>12</v>
      </c>
      <c r="E1215" t="s">
        <v>14</v>
      </c>
      <c r="F1215">
        <v>2025</v>
      </c>
      <c r="G1215" s="4">
        <v>35.714285714285722</v>
      </c>
      <c r="H1215">
        <v>43</v>
      </c>
      <c r="I1215">
        <f t="shared" si="18"/>
        <v>0</v>
      </c>
    </row>
    <row r="1216" spans="1:9" x14ac:dyDescent="0.3">
      <c r="A1216">
        <v>11</v>
      </c>
      <c r="B1216">
        <v>11</v>
      </c>
      <c r="C1216" s="4">
        <v>23</v>
      </c>
      <c r="D1216" t="s">
        <v>12</v>
      </c>
      <c r="E1216" t="s">
        <v>14</v>
      </c>
      <c r="F1216">
        <v>2025</v>
      </c>
      <c r="G1216" s="4">
        <v>32.857142857142847</v>
      </c>
      <c r="H1216">
        <v>43</v>
      </c>
      <c r="I1216">
        <f t="shared" si="18"/>
        <v>0</v>
      </c>
    </row>
    <row r="1217" spans="1:9" x14ac:dyDescent="0.3">
      <c r="A1217">
        <v>12</v>
      </c>
      <c r="B1217">
        <v>11</v>
      </c>
      <c r="C1217" s="4">
        <v>23</v>
      </c>
      <c r="D1217" t="s">
        <v>12</v>
      </c>
      <c r="E1217" t="s">
        <v>14</v>
      </c>
      <c r="F1217">
        <v>2025</v>
      </c>
      <c r="G1217" s="4">
        <v>32.857142857142847</v>
      </c>
      <c r="H1217">
        <v>43</v>
      </c>
      <c r="I1217">
        <f t="shared" si="18"/>
        <v>0</v>
      </c>
    </row>
    <row r="1218" spans="1:9" x14ac:dyDescent="0.3">
      <c r="A1218">
        <v>13</v>
      </c>
      <c r="B1218">
        <v>11</v>
      </c>
      <c r="C1218" s="4">
        <v>23</v>
      </c>
      <c r="D1218" t="s">
        <v>12</v>
      </c>
      <c r="E1218" t="s">
        <v>14</v>
      </c>
      <c r="F1218">
        <v>2025</v>
      </c>
      <c r="G1218" s="4">
        <v>32.857142857142847</v>
      </c>
      <c r="H1218">
        <v>43</v>
      </c>
      <c r="I1218">
        <f t="shared" si="18"/>
        <v>0</v>
      </c>
    </row>
    <row r="1219" spans="1:9" x14ac:dyDescent="0.3">
      <c r="A1219">
        <v>14</v>
      </c>
      <c r="B1219">
        <v>11</v>
      </c>
      <c r="C1219" s="4">
        <v>23</v>
      </c>
      <c r="D1219" t="s">
        <v>12</v>
      </c>
      <c r="E1219" t="s">
        <v>14</v>
      </c>
      <c r="F1219">
        <v>2025</v>
      </c>
      <c r="G1219" s="4">
        <v>32.857142857142847</v>
      </c>
      <c r="H1219">
        <v>43</v>
      </c>
      <c r="I1219">
        <f t="shared" ref="I1219:I1282" si="19">IF(C1219&gt;=H1219,1,0)</f>
        <v>0</v>
      </c>
    </row>
    <row r="1220" spans="1:9" x14ac:dyDescent="0.3">
      <c r="A1220">
        <v>15</v>
      </c>
      <c r="B1220">
        <v>11</v>
      </c>
      <c r="C1220" s="4">
        <v>23</v>
      </c>
      <c r="D1220" t="s">
        <v>12</v>
      </c>
      <c r="E1220" t="s">
        <v>14</v>
      </c>
      <c r="F1220">
        <v>2025</v>
      </c>
      <c r="G1220" s="4">
        <v>32.857142857142847</v>
      </c>
      <c r="H1220">
        <v>43</v>
      </c>
      <c r="I1220">
        <f t="shared" si="19"/>
        <v>0</v>
      </c>
    </row>
    <row r="1221" spans="1:9" x14ac:dyDescent="0.3">
      <c r="A1221">
        <v>16</v>
      </c>
      <c r="B1221">
        <v>11</v>
      </c>
      <c r="C1221" s="4">
        <v>22</v>
      </c>
      <c r="D1221" t="s">
        <v>11</v>
      </c>
      <c r="E1221" t="s">
        <v>14</v>
      </c>
      <c r="F1221">
        <v>2025</v>
      </c>
      <c r="G1221" s="4">
        <v>31.428571428571431</v>
      </c>
      <c r="H1221">
        <v>43</v>
      </c>
      <c r="I1221">
        <f t="shared" si="19"/>
        <v>0</v>
      </c>
    </row>
    <row r="1222" spans="1:9" x14ac:dyDescent="0.3">
      <c r="A1222">
        <v>17</v>
      </c>
      <c r="B1222">
        <v>11</v>
      </c>
      <c r="C1222" s="4">
        <v>22</v>
      </c>
      <c r="D1222" t="s">
        <v>11</v>
      </c>
      <c r="E1222" t="s">
        <v>14</v>
      </c>
      <c r="F1222">
        <v>2025</v>
      </c>
      <c r="G1222" s="4">
        <v>31.428571428571431</v>
      </c>
      <c r="H1222">
        <v>43</v>
      </c>
      <c r="I1222">
        <f t="shared" si="19"/>
        <v>0</v>
      </c>
    </row>
    <row r="1223" spans="1:9" x14ac:dyDescent="0.3">
      <c r="A1223">
        <v>18</v>
      </c>
      <c r="B1223">
        <v>11</v>
      </c>
      <c r="C1223" s="4">
        <v>21</v>
      </c>
      <c r="D1223" t="s">
        <v>11</v>
      </c>
      <c r="E1223" t="s">
        <v>14</v>
      </c>
      <c r="F1223">
        <v>2025</v>
      </c>
      <c r="G1223" s="4">
        <v>30</v>
      </c>
      <c r="H1223">
        <v>43</v>
      </c>
      <c r="I1223">
        <f t="shared" si="19"/>
        <v>0</v>
      </c>
    </row>
    <row r="1224" spans="1:9" x14ac:dyDescent="0.3">
      <c r="A1224">
        <v>19</v>
      </c>
      <c r="B1224">
        <v>11</v>
      </c>
      <c r="C1224" s="4">
        <v>21</v>
      </c>
      <c r="D1224" t="s">
        <v>11</v>
      </c>
      <c r="E1224" t="s">
        <v>14</v>
      </c>
      <c r="F1224">
        <v>2025</v>
      </c>
      <c r="G1224" s="4">
        <v>30</v>
      </c>
      <c r="H1224">
        <v>43</v>
      </c>
      <c r="I1224">
        <f t="shared" si="19"/>
        <v>0</v>
      </c>
    </row>
    <row r="1225" spans="1:9" x14ac:dyDescent="0.3">
      <c r="A1225">
        <v>20</v>
      </c>
      <c r="B1225">
        <v>11</v>
      </c>
      <c r="C1225" s="4">
        <v>21</v>
      </c>
      <c r="D1225" t="s">
        <v>11</v>
      </c>
      <c r="E1225" t="s">
        <v>14</v>
      </c>
      <c r="F1225">
        <v>2025</v>
      </c>
      <c r="G1225" s="4">
        <v>30</v>
      </c>
      <c r="H1225">
        <v>43</v>
      </c>
      <c r="I1225">
        <f t="shared" si="19"/>
        <v>0</v>
      </c>
    </row>
    <row r="1226" spans="1:9" x14ac:dyDescent="0.3">
      <c r="A1226">
        <v>21</v>
      </c>
      <c r="B1226">
        <v>11</v>
      </c>
      <c r="C1226" s="4">
        <v>21</v>
      </c>
      <c r="D1226" t="s">
        <v>11</v>
      </c>
      <c r="E1226" t="s">
        <v>14</v>
      </c>
      <c r="F1226">
        <v>2025</v>
      </c>
      <c r="G1226" s="4">
        <v>30</v>
      </c>
      <c r="H1226">
        <v>43</v>
      </c>
      <c r="I1226">
        <f t="shared" si="19"/>
        <v>0</v>
      </c>
    </row>
    <row r="1227" spans="1:9" x14ac:dyDescent="0.3">
      <c r="A1227">
        <v>22</v>
      </c>
      <c r="B1227">
        <v>11</v>
      </c>
      <c r="C1227" s="4">
        <v>17</v>
      </c>
      <c r="D1227" t="s">
        <v>11</v>
      </c>
      <c r="E1227" t="s">
        <v>14</v>
      </c>
      <c r="F1227">
        <v>2025</v>
      </c>
      <c r="G1227" s="4">
        <v>24.285714285714281</v>
      </c>
      <c r="H1227">
        <v>43</v>
      </c>
      <c r="I1227">
        <f t="shared" si="19"/>
        <v>0</v>
      </c>
    </row>
    <row r="1228" spans="1:9" x14ac:dyDescent="0.3">
      <c r="A1228">
        <v>23</v>
      </c>
      <c r="B1228">
        <v>11</v>
      </c>
      <c r="C1228" s="4">
        <v>16</v>
      </c>
      <c r="D1228" t="s">
        <v>11</v>
      </c>
      <c r="E1228" t="s">
        <v>14</v>
      </c>
      <c r="F1228">
        <v>2025</v>
      </c>
      <c r="G1228" s="4">
        <v>22.857142857142861</v>
      </c>
      <c r="H1228">
        <v>43</v>
      </c>
      <c r="I1228">
        <f t="shared" si="19"/>
        <v>0</v>
      </c>
    </row>
    <row r="1229" spans="1:9" x14ac:dyDescent="0.3">
      <c r="A1229">
        <v>24</v>
      </c>
      <c r="B1229">
        <v>11</v>
      </c>
      <c r="C1229" s="4">
        <v>16</v>
      </c>
      <c r="D1229" t="s">
        <v>11</v>
      </c>
      <c r="E1229" t="s">
        <v>14</v>
      </c>
      <c r="F1229">
        <v>2025</v>
      </c>
      <c r="G1229" s="4">
        <v>22.857142857142861</v>
      </c>
      <c r="H1229">
        <v>43</v>
      </c>
      <c r="I1229">
        <f t="shared" si="19"/>
        <v>0</v>
      </c>
    </row>
    <row r="1230" spans="1:9" x14ac:dyDescent="0.3">
      <c r="A1230">
        <v>25</v>
      </c>
      <c r="B1230">
        <v>11</v>
      </c>
      <c r="C1230" s="4">
        <v>16</v>
      </c>
      <c r="D1230" t="s">
        <v>11</v>
      </c>
      <c r="E1230" t="s">
        <v>14</v>
      </c>
      <c r="F1230">
        <v>2025</v>
      </c>
      <c r="G1230" s="4">
        <v>22.857142857142861</v>
      </c>
      <c r="H1230">
        <v>43</v>
      </c>
      <c r="I1230">
        <f t="shared" si="19"/>
        <v>0</v>
      </c>
    </row>
    <row r="1231" spans="1:9" x14ac:dyDescent="0.3">
      <c r="A1231">
        <v>26</v>
      </c>
      <c r="B1231">
        <v>11</v>
      </c>
      <c r="C1231" s="4">
        <v>14</v>
      </c>
      <c r="D1231" t="s">
        <v>11</v>
      </c>
      <c r="E1231" t="s">
        <v>14</v>
      </c>
      <c r="F1231">
        <v>2025</v>
      </c>
      <c r="G1231" s="4">
        <v>20</v>
      </c>
      <c r="H1231">
        <v>43</v>
      </c>
      <c r="I1231">
        <f t="shared" si="19"/>
        <v>0</v>
      </c>
    </row>
    <row r="1232" spans="1:9" x14ac:dyDescent="0.3">
      <c r="A1232">
        <v>27</v>
      </c>
      <c r="B1232">
        <v>11</v>
      </c>
      <c r="C1232" s="4">
        <v>13</v>
      </c>
      <c r="D1232" t="s">
        <v>11</v>
      </c>
      <c r="E1232" t="s">
        <v>14</v>
      </c>
      <c r="F1232">
        <v>2025</v>
      </c>
      <c r="G1232" s="4">
        <v>18.571428571428569</v>
      </c>
      <c r="H1232">
        <v>43</v>
      </c>
      <c r="I1232">
        <f t="shared" si="19"/>
        <v>0</v>
      </c>
    </row>
    <row r="1233" spans="1:9" x14ac:dyDescent="0.3">
      <c r="A1233">
        <v>28</v>
      </c>
      <c r="B1233">
        <v>11</v>
      </c>
      <c r="C1233" s="4">
        <v>12</v>
      </c>
      <c r="D1233" t="s">
        <v>11</v>
      </c>
      <c r="E1233" t="s">
        <v>14</v>
      </c>
      <c r="F1233">
        <v>2025</v>
      </c>
      <c r="G1233" s="4">
        <v>17.142857142857139</v>
      </c>
      <c r="H1233">
        <v>43</v>
      </c>
      <c r="I1233">
        <f t="shared" si="19"/>
        <v>0</v>
      </c>
    </row>
    <row r="1234" spans="1:9" x14ac:dyDescent="0.3">
      <c r="A1234">
        <v>29</v>
      </c>
      <c r="B1234">
        <v>11</v>
      </c>
      <c r="C1234" s="4">
        <v>11</v>
      </c>
      <c r="D1234" t="s">
        <v>11</v>
      </c>
      <c r="E1234" t="s">
        <v>14</v>
      </c>
      <c r="F1234">
        <v>2025</v>
      </c>
      <c r="G1234" s="4">
        <v>15.71428571428571</v>
      </c>
      <c r="H1234">
        <v>43</v>
      </c>
      <c r="I1234">
        <f t="shared" si="19"/>
        <v>0</v>
      </c>
    </row>
    <row r="1235" spans="1:9" x14ac:dyDescent="0.3">
      <c r="A1235">
        <v>30</v>
      </c>
      <c r="B1235">
        <v>11</v>
      </c>
      <c r="C1235" s="4">
        <v>11</v>
      </c>
      <c r="D1235" t="s">
        <v>11</v>
      </c>
      <c r="E1235" t="s">
        <v>14</v>
      </c>
      <c r="F1235">
        <v>2025</v>
      </c>
      <c r="G1235" s="4">
        <v>15.71428571428571</v>
      </c>
      <c r="H1235">
        <v>43</v>
      </c>
      <c r="I1235">
        <f t="shared" si="19"/>
        <v>0</v>
      </c>
    </row>
    <row r="1236" spans="1:9" x14ac:dyDescent="0.3">
      <c r="A1236">
        <v>31</v>
      </c>
      <c r="B1236">
        <v>11</v>
      </c>
      <c r="C1236" s="4">
        <v>9</v>
      </c>
      <c r="D1236" t="s">
        <v>11</v>
      </c>
      <c r="E1236" t="s">
        <v>14</v>
      </c>
      <c r="F1236">
        <v>2025</v>
      </c>
      <c r="G1236" s="4">
        <v>12.857142857142859</v>
      </c>
      <c r="H1236">
        <v>43</v>
      </c>
      <c r="I1236">
        <f t="shared" si="19"/>
        <v>0</v>
      </c>
    </row>
    <row r="1237" spans="1:9" x14ac:dyDescent="0.3">
      <c r="A1237">
        <v>32</v>
      </c>
      <c r="B1237">
        <v>11</v>
      </c>
      <c r="C1237" s="4">
        <v>9</v>
      </c>
      <c r="D1237" t="s">
        <v>11</v>
      </c>
      <c r="E1237" t="s">
        <v>14</v>
      </c>
      <c r="F1237">
        <v>2025</v>
      </c>
      <c r="G1237" s="4">
        <v>12.857142857142859</v>
      </c>
      <c r="H1237">
        <v>43</v>
      </c>
      <c r="I1237">
        <f t="shared" si="19"/>
        <v>0</v>
      </c>
    </row>
    <row r="1238" spans="1:9" x14ac:dyDescent="0.3">
      <c r="A1238">
        <v>1</v>
      </c>
      <c r="B1238">
        <v>9</v>
      </c>
      <c r="C1238" s="4">
        <v>48</v>
      </c>
      <c r="D1238" t="s">
        <v>8</v>
      </c>
      <c r="E1238" t="s">
        <v>17</v>
      </c>
      <c r="F1238">
        <v>2022</v>
      </c>
      <c r="G1238" s="4">
        <v>48</v>
      </c>
      <c r="H1238">
        <v>65</v>
      </c>
      <c r="I1238">
        <f t="shared" si="19"/>
        <v>0</v>
      </c>
    </row>
    <row r="1239" spans="1:9" x14ac:dyDescent="0.3">
      <c r="A1239">
        <v>2</v>
      </c>
      <c r="B1239">
        <v>9</v>
      </c>
      <c r="C1239" s="4">
        <v>45</v>
      </c>
      <c r="D1239" t="s">
        <v>8</v>
      </c>
      <c r="E1239" t="s">
        <v>17</v>
      </c>
      <c r="F1239">
        <v>2022</v>
      </c>
      <c r="G1239" s="4">
        <v>45</v>
      </c>
      <c r="H1239">
        <v>65</v>
      </c>
      <c r="I1239">
        <f t="shared" si="19"/>
        <v>0</v>
      </c>
    </row>
    <row r="1240" spans="1:9" x14ac:dyDescent="0.3">
      <c r="A1240">
        <v>3</v>
      </c>
      <c r="B1240">
        <v>9</v>
      </c>
      <c r="C1240" s="4">
        <v>40</v>
      </c>
      <c r="D1240" t="s">
        <v>10</v>
      </c>
      <c r="E1240" t="s">
        <v>17</v>
      </c>
      <c r="F1240">
        <v>2022</v>
      </c>
      <c r="G1240" s="4">
        <v>40</v>
      </c>
      <c r="H1240">
        <v>65</v>
      </c>
      <c r="I1240">
        <f t="shared" si="19"/>
        <v>0</v>
      </c>
    </row>
    <row r="1241" spans="1:9" x14ac:dyDescent="0.3">
      <c r="A1241">
        <v>4</v>
      </c>
      <c r="B1241">
        <v>9</v>
      </c>
      <c r="C1241" s="4">
        <v>40</v>
      </c>
      <c r="D1241" t="s">
        <v>10</v>
      </c>
      <c r="E1241" t="s">
        <v>17</v>
      </c>
      <c r="F1241">
        <v>2022</v>
      </c>
      <c r="G1241" s="4">
        <v>40</v>
      </c>
      <c r="H1241">
        <v>65</v>
      </c>
      <c r="I1241">
        <f t="shared" si="19"/>
        <v>0</v>
      </c>
    </row>
    <row r="1242" spans="1:9" x14ac:dyDescent="0.3">
      <c r="A1242">
        <v>5</v>
      </c>
      <c r="B1242">
        <v>9</v>
      </c>
      <c r="C1242" s="4">
        <v>39</v>
      </c>
      <c r="D1242" t="s">
        <v>10</v>
      </c>
      <c r="E1242" t="s">
        <v>17</v>
      </c>
      <c r="F1242">
        <v>2022</v>
      </c>
      <c r="G1242" s="4">
        <v>39</v>
      </c>
      <c r="H1242">
        <v>65</v>
      </c>
      <c r="I1242">
        <f t="shared" si="19"/>
        <v>0</v>
      </c>
    </row>
    <row r="1243" spans="1:9" x14ac:dyDescent="0.3">
      <c r="A1243">
        <v>6</v>
      </c>
      <c r="B1243">
        <v>9</v>
      </c>
      <c r="C1243" s="4">
        <v>38</v>
      </c>
      <c r="D1243" t="s">
        <v>10</v>
      </c>
      <c r="E1243" t="s">
        <v>17</v>
      </c>
      <c r="F1243">
        <v>2022</v>
      </c>
      <c r="G1243" s="4">
        <v>38</v>
      </c>
      <c r="H1243">
        <v>65</v>
      </c>
      <c r="I1243">
        <f t="shared" si="19"/>
        <v>0</v>
      </c>
    </row>
    <row r="1244" spans="1:9" x14ac:dyDescent="0.3">
      <c r="A1244">
        <v>7</v>
      </c>
      <c r="B1244">
        <v>9</v>
      </c>
      <c r="C1244" s="4">
        <v>37</v>
      </c>
      <c r="D1244" t="s">
        <v>11</v>
      </c>
      <c r="E1244" t="s">
        <v>17</v>
      </c>
      <c r="F1244">
        <v>2022</v>
      </c>
      <c r="G1244" s="4">
        <v>37</v>
      </c>
      <c r="H1244">
        <v>65</v>
      </c>
      <c r="I1244">
        <f t="shared" si="19"/>
        <v>0</v>
      </c>
    </row>
    <row r="1245" spans="1:9" x14ac:dyDescent="0.3">
      <c r="A1245">
        <v>8</v>
      </c>
      <c r="B1245">
        <v>9</v>
      </c>
      <c r="C1245" s="4">
        <v>37</v>
      </c>
      <c r="D1245" t="s">
        <v>11</v>
      </c>
      <c r="E1245" t="s">
        <v>17</v>
      </c>
      <c r="F1245">
        <v>2022</v>
      </c>
      <c r="G1245" s="4">
        <v>37</v>
      </c>
      <c r="H1245">
        <v>65</v>
      </c>
      <c r="I1245">
        <f t="shared" si="19"/>
        <v>0</v>
      </c>
    </row>
    <row r="1246" spans="1:9" x14ac:dyDescent="0.3">
      <c r="A1246">
        <v>9</v>
      </c>
      <c r="B1246">
        <v>9</v>
      </c>
      <c r="C1246" s="4">
        <v>37</v>
      </c>
      <c r="D1246" t="s">
        <v>11</v>
      </c>
      <c r="E1246" t="s">
        <v>17</v>
      </c>
      <c r="F1246">
        <v>2022</v>
      </c>
      <c r="G1246" s="4">
        <v>37</v>
      </c>
      <c r="H1246">
        <v>65</v>
      </c>
      <c r="I1246">
        <f t="shared" si="19"/>
        <v>0</v>
      </c>
    </row>
    <row r="1247" spans="1:9" x14ac:dyDescent="0.3">
      <c r="A1247">
        <v>10</v>
      </c>
      <c r="B1247">
        <v>9</v>
      </c>
      <c r="C1247" s="4">
        <v>34</v>
      </c>
      <c r="D1247" t="s">
        <v>11</v>
      </c>
      <c r="E1247" t="s">
        <v>17</v>
      </c>
      <c r="F1247">
        <v>2022</v>
      </c>
      <c r="G1247" s="4">
        <v>34</v>
      </c>
      <c r="H1247">
        <v>65</v>
      </c>
      <c r="I1247">
        <f t="shared" si="19"/>
        <v>0</v>
      </c>
    </row>
    <row r="1248" spans="1:9" x14ac:dyDescent="0.3">
      <c r="A1248">
        <v>11</v>
      </c>
      <c r="B1248">
        <v>9</v>
      </c>
      <c r="C1248" s="4">
        <v>34</v>
      </c>
      <c r="D1248" t="s">
        <v>11</v>
      </c>
      <c r="E1248" t="s">
        <v>17</v>
      </c>
      <c r="F1248">
        <v>2022</v>
      </c>
      <c r="G1248" s="4">
        <v>34</v>
      </c>
      <c r="H1248">
        <v>65</v>
      </c>
      <c r="I1248">
        <f t="shared" si="19"/>
        <v>0</v>
      </c>
    </row>
    <row r="1249" spans="1:9" x14ac:dyDescent="0.3">
      <c r="A1249">
        <v>12</v>
      </c>
      <c r="B1249">
        <v>9</v>
      </c>
      <c r="C1249" s="4">
        <v>33</v>
      </c>
      <c r="D1249" t="s">
        <v>11</v>
      </c>
      <c r="E1249" t="s">
        <v>17</v>
      </c>
      <c r="F1249">
        <v>2022</v>
      </c>
      <c r="G1249" s="4">
        <v>33</v>
      </c>
      <c r="H1249">
        <v>65</v>
      </c>
      <c r="I1249">
        <f t="shared" si="19"/>
        <v>0</v>
      </c>
    </row>
    <row r="1250" spans="1:9" x14ac:dyDescent="0.3">
      <c r="A1250">
        <v>13</v>
      </c>
      <c r="B1250">
        <v>9</v>
      </c>
      <c r="C1250" s="4">
        <v>32</v>
      </c>
      <c r="D1250" t="s">
        <v>11</v>
      </c>
      <c r="E1250" t="s">
        <v>17</v>
      </c>
      <c r="F1250">
        <v>2022</v>
      </c>
      <c r="G1250" s="4">
        <v>32</v>
      </c>
      <c r="H1250">
        <v>65</v>
      </c>
      <c r="I1250">
        <f t="shared" si="19"/>
        <v>0</v>
      </c>
    </row>
    <row r="1251" spans="1:9" x14ac:dyDescent="0.3">
      <c r="A1251">
        <v>14</v>
      </c>
      <c r="B1251">
        <v>9</v>
      </c>
      <c r="C1251" s="4">
        <v>32</v>
      </c>
      <c r="D1251" t="s">
        <v>11</v>
      </c>
      <c r="E1251" t="s">
        <v>17</v>
      </c>
      <c r="F1251">
        <v>2022</v>
      </c>
      <c r="G1251" s="4">
        <v>32</v>
      </c>
      <c r="H1251">
        <v>65</v>
      </c>
      <c r="I1251">
        <f t="shared" si="19"/>
        <v>0</v>
      </c>
    </row>
    <row r="1252" spans="1:9" x14ac:dyDescent="0.3">
      <c r="A1252">
        <v>15</v>
      </c>
      <c r="B1252">
        <v>9</v>
      </c>
      <c r="C1252" s="4">
        <v>29</v>
      </c>
      <c r="D1252" t="s">
        <v>11</v>
      </c>
      <c r="E1252" t="s">
        <v>17</v>
      </c>
      <c r="F1252">
        <v>2022</v>
      </c>
      <c r="G1252" s="4">
        <v>29</v>
      </c>
      <c r="H1252">
        <v>65</v>
      </c>
      <c r="I1252">
        <f t="shared" si="19"/>
        <v>0</v>
      </c>
    </row>
    <row r="1253" spans="1:9" x14ac:dyDescent="0.3">
      <c r="A1253">
        <v>16</v>
      </c>
      <c r="B1253">
        <v>9</v>
      </c>
      <c r="C1253" s="4">
        <v>28</v>
      </c>
      <c r="D1253" t="s">
        <v>11</v>
      </c>
      <c r="E1253" t="s">
        <v>17</v>
      </c>
      <c r="F1253">
        <v>2022</v>
      </c>
      <c r="G1253" s="4">
        <v>28</v>
      </c>
      <c r="H1253">
        <v>65</v>
      </c>
      <c r="I1253">
        <f t="shared" si="19"/>
        <v>0</v>
      </c>
    </row>
    <row r="1254" spans="1:9" x14ac:dyDescent="0.3">
      <c r="A1254">
        <v>17</v>
      </c>
      <c r="B1254">
        <v>9</v>
      </c>
      <c r="C1254" s="4">
        <v>26</v>
      </c>
      <c r="D1254" t="s">
        <v>11</v>
      </c>
      <c r="E1254" t="s">
        <v>17</v>
      </c>
      <c r="F1254">
        <v>2022</v>
      </c>
      <c r="G1254" s="4">
        <v>26</v>
      </c>
      <c r="H1254">
        <v>65</v>
      </c>
      <c r="I1254">
        <f t="shared" si="19"/>
        <v>0</v>
      </c>
    </row>
    <row r="1255" spans="1:9" x14ac:dyDescent="0.3">
      <c r="A1255">
        <v>18</v>
      </c>
      <c r="B1255">
        <v>9</v>
      </c>
      <c r="C1255" s="4">
        <v>23</v>
      </c>
      <c r="D1255" t="s">
        <v>11</v>
      </c>
      <c r="E1255" t="s">
        <v>17</v>
      </c>
      <c r="F1255">
        <v>2022</v>
      </c>
      <c r="G1255" s="4">
        <v>23</v>
      </c>
      <c r="H1255">
        <v>65</v>
      </c>
      <c r="I1255">
        <f t="shared" si="19"/>
        <v>0</v>
      </c>
    </row>
    <row r="1256" spans="1:9" x14ac:dyDescent="0.3">
      <c r="A1256">
        <v>19</v>
      </c>
      <c r="B1256">
        <v>9</v>
      </c>
      <c r="C1256" s="4">
        <v>21</v>
      </c>
      <c r="D1256" t="s">
        <v>11</v>
      </c>
      <c r="E1256" t="s">
        <v>17</v>
      </c>
      <c r="F1256">
        <v>2022</v>
      </c>
      <c r="G1256" s="4">
        <v>21</v>
      </c>
      <c r="H1256">
        <v>65</v>
      </c>
      <c r="I1256">
        <f t="shared" si="19"/>
        <v>0</v>
      </c>
    </row>
    <row r="1257" spans="1:9" x14ac:dyDescent="0.3">
      <c r="A1257">
        <v>20</v>
      </c>
      <c r="B1257">
        <v>9</v>
      </c>
      <c r="C1257" s="4">
        <v>20</v>
      </c>
      <c r="D1257" t="s">
        <v>11</v>
      </c>
      <c r="E1257" t="s">
        <v>17</v>
      </c>
      <c r="F1257">
        <v>2022</v>
      </c>
      <c r="G1257" s="4">
        <v>20</v>
      </c>
      <c r="H1257">
        <v>65</v>
      </c>
      <c r="I1257">
        <f t="shared" si="19"/>
        <v>0</v>
      </c>
    </row>
    <row r="1258" spans="1:9" x14ac:dyDescent="0.3">
      <c r="A1258">
        <v>21</v>
      </c>
      <c r="B1258">
        <v>9</v>
      </c>
      <c r="C1258" s="4">
        <v>19</v>
      </c>
      <c r="D1258" t="s">
        <v>11</v>
      </c>
      <c r="E1258" t="s">
        <v>17</v>
      </c>
      <c r="F1258">
        <v>2022</v>
      </c>
      <c r="G1258" s="4">
        <v>19</v>
      </c>
      <c r="H1258">
        <v>65</v>
      </c>
      <c r="I1258">
        <f t="shared" si="19"/>
        <v>0</v>
      </c>
    </row>
    <row r="1259" spans="1:9" x14ac:dyDescent="0.3">
      <c r="A1259">
        <v>1</v>
      </c>
      <c r="B1259">
        <v>10</v>
      </c>
      <c r="C1259" s="4">
        <v>62</v>
      </c>
      <c r="D1259" t="s">
        <v>8</v>
      </c>
      <c r="E1259" t="s">
        <v>17</v>
      </c>
      <c r="F1259">
        <v>2022</v>
      </c>
      <c r="G1259" s="4">
        <v>62</v>
      </c>
      <c r="H1259">
        <v>74</v>
      </c>
      <c r="I1259">
        <f t="shared" si="19"/>
        <v>0</v>
      </c>
    </row>
    <row r="1260" spans="1:9" x14ac:dyDescent="0.3">
      <c r="A1260">
        <v>2</v>
      </c>
      <c r="B1260">
        <v>10</v>
      </c>
      <c r="C1260" s="4">
        <v>59</v>
      </c>
      <c r="D1260" t="s">
        <v>8</v>
      </c>
      <c r="E1260" t="s">
        <v>17</v>
      </c>
      <c r="F1260">
        <v>2022</v>
      </c>
      <c r="G1260" s="4">
        <v>59</v>
      </c>
      <c r="H1260">
        <v>74</v>
      </c>
      <c r="I1260">
        <f t="shared" si="19"/>
        <v>0</v>
      </c>
    </row>
    <row r="1261" spans="1:9" x14ac:dyDescent="0.3">
      <c r="A1261">
        <v>3</v>
      </c>
      <c r="B1261">
        <v>10</v>
      </c>
      <c r="C1261" s="4">
        <v>58</v>
      </c>
      <c r="D1261" t="s">
        <v>8</v>
      </c>
      <c r="E1261" t="s">
        <v>17</v>
      </c>
      <c r="F1261">
        <v>2022</v>
      </c>
      <c r="G1261" s="4">
        <v>57.999999999999993</v>
      </c>
      <c r="H1261">
        <v>74</v>
      </c>
      <c r="I1261">
        <f t="shared" si="19"/>
        <v>0</v>
      </c>
    </row>
    <row r="1262" spans="1:9" x14ac:dyDescent="0.3">
      <c r="A1262">
        <v>4</v>
      </c>
      <c r="B1262">
        <v>10</v>
      </c>
      <c r="C1262" s="4">
        <v>55</v>
      </c>
      <c r="D1262" t="s">
        <v>10</v>
      </c>
      <c r="E1262" t="s">
        <v>17</v>
      </c>
      <c r="F1262">
        <v>2022</v>
      </c>
      <c r="G1262" s="4">
        <v>55.000000000000007</v>
      </c>
      <c r="H1262">
        <v>74</v>
      </c>
      <c r="I1262">
        <f t="shared" si="19"/>
        <v>0</v>
      </c>
    </row>
    <row r="1263" spans="1:9" x14ac:dyDescent="0.3">
      <c r="A1263">
        <v>5</v>
      </c>
      <c r="B1263">
        <v>10</v>
      </c>
      <c r="C1263" s="4">
        <v>55</v>
      </c>
      <c r="D1263" t="s">
        <v>10</v>
      </c>
      <c r="E1263" t="s">
        <v>17</v>
      </c>
      <c r="F1263">
        <v>2022</v>
      </c>
      <c r="G1263" s="4">
        <v>55.000000000000007</v>
      </c>
      <c r="H1263">
        <v>74</v>
      </c>
      <c r="I1263">
        <f t="shared" si="19"/>
        <v>0</v>
      </c>
    </row>
    <row r="1264" spans="1:9" x14ac:dyDescent="0.3">
      <c r="A1264">
        <v>6</v>
      </c>
      <c r="B1264">
        <v>10</v>
      </c>
      <c r="C1264" s="4">
        <v>51</v>
      </c>
      <c r="D1264" t="s">
        <v>10</v>
      </c>
      <c r="E1264" t="s">
        <v>17</v>
      </c>
      <c r="F1264">
        <v>2022</v>
      </c>
      <c r="G1264" s="4">
        <v>51</v>
      </c>
      <c r="H1264">
        <v>74</v>
      </c>
      <c r="I1264">
        <f t="shared" si="19"/>
        <v>0</v>
      </c>
    </row>
    <row r="1265" spans="1:9" x14ac:dyDescent="0.3">
      <c r="A1265">
        <v>7</v>
      </c>
      <c r="B1265">
        <v>10</v>
      </c>
      <c r="C1265" s="4">
        <v>48</v>
      </c>
      <c r="D1265" t="s">
        <v>10</v>
      </c>
      <c r="E1265" t="s">
        <v>17</v>
      </c>
      <c r="F1265">
        <v>2022</v>
      </c>
      <c r="G1265" s="4">
        <v>48</v>
      </c>
      <c r="H1265">
        <v>74</v>
      </c>
      <c r="I1265">
        <f t="shared" si="19"/>
        <v>0</v>
      </c>
    </row>
    <row r="1266" spans="1:9" x14ac:dyDescent="0.3">
      <c r="A1266">
        <v>8</v>
      </c>
      <c r="B1266">
        <v>10</v>
      </c>
      <c r="C1266" s="4">
        <v>48</v>
      </c>
      <c r="D1266" t="s">
        <v>10</v>
      </c>
      <c r="E1266" t="s">
        <v>17</v>
      </c>
      <c r="F1266">
        <v>2022</v>
      </c>
      <c r="G1266" s="4">
        <v>48</v>
      </c>
      <c r="H1266">
        <v>74</v>
      </c>
      <c r="I1266">
        <f t="shared" si="19"/>
        <v>0</v>
      </c>
    </row>
    <row r="1267" spans="1:9" x14ac:dyDescent="0.3">
      <c r="A1267">
        <v>9</v>
      </c>
      <c r="B1267">
        <v>10</v>
      </c>
      <c r="C1267" s="4">
        <v>46</v>
      </c>
      <c r="D1267" t="s">
        <v>11</v>
      </c>
      <c r="E1267" t="s">
        <v>17</v>
      </c>
      <c r="F1267">
        <v>2022</v>
      </c>
      <c r="G1267" s="4">
        <v>46</v>
      </c>
      <c r="H1267">
        <v>74</v>
      </c>
      <c r="I1267">
        <f t="shared" si="19"/>
        <v>0</v>
      </c>
    </row>
    <row r="1268" spans="1:9" x14ac:dyDescent="0.3">
      <c r="A1268">
        <v>10</v>
      </c>
      <c r="B1268">
        <v>10</v>
      </c>
      <c r="C1268" s="4">
        <v>46</v>
      </c>
      <c r="D1268" t="s">
        <v>11</v>
      </c>
      <c r="E1268" t="s">
        <v>17</v>
      </c>
      <c r="F1268">
        <v>2022</v>
      </c>
      <c r="G1268" s="4">
        <v>46</v>
      </c>
      <c r="H1268">
        <v>74</v>
      </c>
      <c r="I1268">
        <f t="shared" si="19"/>
        <v>0</v>
      </c>
    </row>
    <row r="1269" spans="1:9" x14ac:dyDescent="0.3">
      <c r="A1269">
        <v>11</v>
      </c>
      <c r="B1269">
        <v>10</v>
      </c>
      <c r="C1269" s="4">
        <v>45</v>
      </c>
      <c r="D1269" t="s">
        <v>11</v>
      </c>
      <c r="E1269" t="s">
        <v>17</v>
      </c>
      <c r="F1269">
        <v>2022</v>
      </c>
      <c r="G1269" s="4">
        <v>45</v>
      </c>
      <c r="H1269">
        <v>74</v>
      </c>
      <c r="I1269">
        <f t="shared" si="19"/>
        <v>0</v>
      </c>
    </row>
    <row r="1270" spans="1:9" x14ac:dyDescent="0.3">
      <c r="A1270">
        <v>12</v>
      </c>
      <c r="B1270">
        <v>10</v>
      </c>
      <c r="C1270" s="4">
        <v>43</v>
      </c>
      <c r="D1270" t="s">
        <v>11</v>
      </c>
      <c r="E1270" t="s">
        <v>17</v>
      </c>
      <c r="F1270">
        <v>2022</v>
      </c>
      <c r="G1270" s="4">
        <v>43</v>
      </c>
      <c r="H1270">
        <v>74</v>
      </c>
      <c r="I1270">
        <f t="shared" si="19"/>
        <v>0</v>
      </c>
    </row>
    <row r="1271" spans="1:9" x14ac:dyDescent="0.3">
      <c r="A1271">
        <v>13</v>
      </c>
      <c r="B1271">
        <v>10</v>
      </c>
      <c r="C1271" s="4">
        <v>42</v>
      </c>
      <c r="D1271" t="s">
        <v>11</v>
      </c>
      <c r="E1271" t="s">
        <v>17</v>
      </c>
      <c r="F1271">
        <v>2022</v>
      </c>
      <c r="G1271" s="4">
        <v>42</v>
      </c>
      <c r="H1271">
        <v>74</v>
      </c>
      <c r="I1271">
        <f t="shared" si="19"/>
        <v>0</v>
      </c>
    </row>
    <row r="1272" spans="1:9" x14ac:dyDescent="0.3">
      <c r="A1272">
        <v>14</v>
      </c>
      <c r="B1272">
        <v>10</v>
      </c>
      <c r="C1272" s="4">
        <v>42</v>
      </c>
      <c r="D1272" t="s">
        <v>11</v>
      </c>
      <c r="E1272" t="s">
        <v>17</v>
      </c>
      <c r="F1272">
        <v>2022</v>
      </c>
      <c r="G1272" s="4">
        <v>42</v>
      </c>
      <c r="H1272">
        <v>74</v>
      </c>
      <c r="I1272">
        <f t="shared" si="19"/>
        <v>0</v>
      </c>
    </row>
    <row r="1273" spans="1:9" x14ac:dyDescent="0.3">
      <c r="A1273">
        <v>15</v>
      </c>
      <c r="B1273">
        <v>10</v>
      </c>
      <c r="C1273" s="4">
        <v>42</v>
      </c>
      <c r="D1273" t="s">
        <v>11</v>
      </c>
      <c r="E1273" t="s">
        <v>17</v>
      </c>
      <c r="F1273">
        <v>2022</v>
      </c>
      <c r="G1273" s="4">
        <v>42</v>
      </c>
      <c r="H1273">
        <v>74</v>
      </c>
      <c r="I1273">
        <f t="shared" si="19"/>
        <v>0</v>
      </c>
    </row>
    <row r="1274" spans="1:9" x14ac:dyDescent="0.3">
      <c r="A1274">
        <v>16</v>
      </c>
      <c r="B1274">
        <v>10</v>
      </c>
      <c r="C1274" s="4">
        <v>39</v>
      </c>
      <c r="D1274" t="s">
        <v>11</v>
      </c>
      <c r="E1274" t="s">
        <v>17</v>
      </c>
      <c r="F1274">
        <v>2022</v>
      </c>
      <c r="G1274" s="4">
        <v>39</v>
      </c>
      <c r="H1274">
        <v>74</v>
      </c>
      <c r="I1274">
        <f t="shared" si="19"/>
        <v>0</v>
      </c>
    </row>
    <row r="1275" spans="1:9" x14ac:dyDescent="0.3">
      <c r="A1275">
        <v>17</v>
      </c>
      <c r="B1275">
        <v>10</v>
      </c>
      <c r="C1275" s="4">
        <v>39</v>
      </c>
      <c r="D1275" t="s">
        <v>11</v>
      </c>
      <c r="E1275" t="s">
        <v>17</v>
      </c>
      <c r="F1275">
        <v>2022</v>
      </c>
      <c r="G1275" s="4">
        <v>39</v>
      </c>
      <c r="H1275">
        <v>74</v>
      </c>
      <c r="I1275">
        <f t="shared" si="19"/>
        <v>0</v>
      </c>
    </row>
    <row r="1276" spans="1:9" x14ac:dyDescent="0.3">
      <c r="A1276">
        <v>18</v>
      </c>
      <c r="B1276">
        <v>10</v>
      </c>
      <c r="C1276" s="4">
        <v>39</v>
      </c>
      <c r="D1276" t="s">
        <v>11</v>
      </c>
      <c r="E1276" t="s">
        <v>17</v>
      </c>
      <c r="F1276">
        <v>2022</v>
      </c>
      <c r="G1276" s="4">
        <v>39</v>
      </c>
      <c r="H1276">
        <v>74</v>
      </c>
      <c r="I1276">
        <f t="shared" si="19"/>
        <v>0</v>
      </c>
    </row>
    <row r="1277" spans="1:9" x14ac:dyDescent="0.3">
      <c r="A1277">
        <v>19</v>
      </c>
      <c r="B1277">
        <v>10</v>
      </c>
      <c r="C1277" s="4">
        <v>33</v>
      </c>
      <c r="D1277" t="s">
        <v>11</v>
      </c>
      <c r="E1277" t="s">
        <v>17</v>
      </c>
      <c r="F1277">
        <v>2022</v>
      </c>
      <c r="G1277" s="4">
        <v>33</v>
      </c>
      <c r="H1277">
        <v>74</v>
      </c>
      <c r="I1277">
        <f t="shared" si="19"/>
        <v>0</v>
      </c>
    </row>
    <row r="1278" spans="1:9" x14ac:dyDescent="0.3">
      <c r="A1278">
        <v>20</v>
      </c>
      <c r="B1278">
        <v>10</v>
      </c>
      <c r="C1278" s="4">
        <v>31</v>
      </c>
      <c r="D1278" t="s">
        <v>11</v>
      </c>
      <c r="E1278" t="s">
        <v>17</v>
      </c>
      <c r="F1278">
        <v>2022</v>
      </c>
      <c r="G1278" s="4">
        <v>31</v>
      </c>
      <c r="H1278">
        <v>74</v>
      </c>
      <c r="I1278">
        <f t="shared" si="19"/>
        <v>0</v>
      </c>
    </row>
    <row r="1279" spans="1:9" x14ac:dyDescent="0.3">
      <c r="A1279">
        <v>21</v>
      </c>
      <c r="B1279">
        <v>10</v>
      </c>
      <c r="C1279" s="4">
        <v>29</v>
      </c>
      <c r="D1279" t="s">
        <v>11</v>
      </c>
      <c r="E1279" t="s">
        <v>17</v>
      </c>
      <c r="F1279">
        <v>2022</v>
      </c>
      <c r="G1279" s="4">
        <v>29</v>
      </c>
      <c r="H1279">
        <v>74</v>
      </c>
      <c r="I1279">
        <f t="shared" si="19"/>
        <v>0</v>
      </c>
    </row>
    <row r="1280" spans="1:9" x14ac:dyDescent="0.3">
      <c r="A1280">
        <v>22</v>
      </c>
      <c r="B1280">
        <v>10</v>
      </c>
      <c r="C1280" s="4">
        <v>29</v>
      </c>
      <c r="D1280" t="s">
        <v>11</v>
      </c>
      <c r="E1280" t="s">
        <v>17</v>
      </c>
      <c r="F1280">
        <v>2022</v>
      </c>
      <c r="G1280" s="4">
        <v>29</v>
      </c>
      <c r="H1280">
        <v>74</v>
      </c>
      <c r="I1280">
        <f t="shared" si="19"/>
        <v>0</v>
      </c>
    </row>
    <row r="1281" spans="1:9" x14ac:dyDescent="0.3">
      <c r="A1281">
        <v>23</v>
      </c>
      <c r="B1281">
        <v>10</v>
      </c>
      <c r="C1281" s="4">
        <v>25</v>
      </c>
      <c r="D1281" t="s">
        <v>11</v>
      </c>
      <c r="E1281" t="s">
        <v>17</v>
      </c>
      <c r="F1281">
        <v>2022</v>
      </c>
      <c r="G1281" s="4">
        <v>25</v>
      </c>
      <c r="H1281">
        <v>74</v>
      </c>
      <c r="I1281">
        <f t="shared" si="19"/>
        <v>0</v>
      </c>
    </row>
    <row r="1282" spans="1:9" x14ac:dyDescent="0.3">
      <c r="A1282">
        <v>1</v>
      </c>
      <c r="B1282">
        <v>11</v>
      </c>
      <c r="C1282" s="4">
        <v>60</v>
      </c>
      <c r="D1282" t="s">
        <v>8</v>
      </c>
      <c r="E1282" t="s">
        <v>17</v>
      </c>
      <c r="F1282">
        <v>2022</v>
      </c>
      <c r="G1282" s="4">
        <v>60</v>
      </c>
      <c r="H1282">
        <v>81</v>
      </c>
      <c r="I1282">
        <f t="shared" si="19"/>
        <v>0</v>
      </c>
    </row>
    <row r="1283" spans="1:9" x14ac:dyDescent="0.3">
      <c r="A1283">
        <v>2</v>
      </c>
      <c r="B1283">
        <v>11</v>
      </c>
      <c r="C1283" s="4">
        <v>49</v>
      </c>
      <c r="D1283" t="s">
        <v>10</v>
      </c>
      <c r="E1283" t="s">
        <v>17</v>
      </c>
      <c r="F1283">
        <v>2022</v>
      </c>
      <c r="G1283" s="4">
        <v>49</v>
      </c>
      <c r="H1283">
        <v>81</v>
      </c>
      <c r="I1283">
        <f t="shared" ref="I1283:I1346" si="20">IF(C1283&gt;=H1283,1,0)</f>
        <v>0</v>
      </c>
    </row>
    <row r="1284" spans="1:9" x14ac:dyDescent="0.3">
      <c r="A1284">
        <v>3</v>
      </c>
      <c r="B1284">
        <v>11</v>
      </c>
      <c r="C1284" s="4">
        <v>48</v>
      </c>
      <c r="D1284" t="s">
        <v>10</v>
      </c>
      <c r="E1284" t="s">
        <v>17</v>
      </c>
      <c r="F1284">
        <v>2022</v>
      </c>
      <c r="G1284" s="4">
        <v>48</v>
      </c>
      <c r="H1284">
        <v>81</v>
      </c>
      <c r="I1284">
        <f t="shared" si="20"/>
        <v>0</v>
      </c>
    </row>
    <row r="1285" spans="1:9" x14ac:dyDescent="0.3">
      <c r="A1285">
        <v>4</v>
      </c>
      <c r="B1285">
        <v>11</v>
      </c>
      <c r="C1285" s="4">
        <v>42</v>
      </c>
      <c r="D1285" t="s">
        <v>10</v>
      </c>
      <c r="E1285" t="s">
        <v>17</v>
      </c>
      <c r="F1285">
        <v>2022</v>
      </c>
      <c r="G1285" s="4">
        <v>42</v>
      </c>
      <c r="H1285">
        <v>81</v>
      </c>
      <c r="I1285">
        <f t="shared" si="20"/>
        <v>0</v>
      </c>
    </row>
    <row r="1286" spans="1:9" x14ac:dyDescent="0.3">
      <c r="A1286">
        <v>5</v>
      </c>
      <c r="B1286">
        <v>11</v>
      </c>
      <c r="C1286" s="4">
        <v>40</v>
      </c>
      <c r="D1286" t="s">
        <v>10</v>
      </c>
      <c r="E1286" t="s">
        <v>17</v>
      </c>
      <c r="F1286">
        <v>2022</v>
      </c>
      <c r="G1286" s="4">
        <v>40</v>
      </c>
      <c r="H1286">
        <v>81</v>
      </c>
      <c r="I1286">
        <f t="shared" si="20"/>
        <v>0</v>
      </c>
    </row>
    <row r="1287" spans="1:9" x14ac:dyDescent="0.3">
      <c r="A1287">
        <v>6</v>
      </c>
      <c r="B1287">
        <v>11</v>
      </c>
      <c r="C1287" s="4">
        <v>38</v>
      </c>
      <c r="D1287" t="s">
        <v>11</v>
      </c>
      <c r="E1287" t="s">
        <v>17</v>
      </c>
      <c r="F1287">
        <v>2022</v>
      </c>
      <c r="G1287" s="4">
        <v>38</v>
      </c>
      <c r="H1287">
        <v>81</v>
      </c>
      <c r="I1287">
        <f t="shared" si="20"/>
        <v>0</v>
      </c>
    </row>
    <row r="1288" spans="1:9" x14ac:dyDescent="0.3">
      <c r="A1288">
        <v>7</v>
      </c>
      <c r="B1288">
        <v>11</v>
      </c>
      <c r="C1288" s="4">
        <v>37</v>
      </c>
      <c r="D1288" t="s">
        <v>11</v>
      </c>
      <c r="E1288" t="s">
        <v>17</v>
      </c>
      <c r="F1288">
        <v>2022</v>
      </c>
      <c r="G1288" s="4">
        <v>37</v>
      </c>
      <c r="H1288">
        <v>81</v>
      </c>
      <c r="I1288">
        <f t="shared" si="20"/>
        <v>0</v>
      </c>
    </row>
    <row r="1289" spans="1:9" x14ac:dyDescent="0.3">
      <c r="A1289">
        <v>8</v>
      </c>
      <c r="B1289">
        <v>11</v>
      </c>
      <c r="C1289" s="4">
        <v>36</v>
      </c>
      <c r="D1289" t="s">
        <v>11</v>
      </c>
      <c r="E1289" t="s">
        <v>17</v>
      </c>
      <c r="F1289">
        <v>2022</v>
      </c>
      <c r="G1289" s="4">
        <v>36</v>
      </c>
      <c r="H1289">
        <v>81</v>
      </c>
      <c r="I1289">
        <f t="shared" si="20"/>
        <v>0</v>
      </c>
    </row>
    <row r="1290" spans="1:9" x14ac:dyDescent="0.3">
      <c r="A1290">
        <v>9</v>
      </c>
      <c r="B1290">
        <v>11</v>
      </c>
      <c r="C1290" s="4">
        <v>34</v>
      </c>
      <c r="D1290" t="s">
        <v>11</v>
      </c>
      <c r="E1290" t="s">
        <v>17</v>
      </c>
      <c r="F1290">
        <v>2022</v>
      </c>
      <c r="G1290" s="4">
        <v>34</v>
      </c>
      <c r="H1290">
        <v>81</v>
      </c>
      <c r="I1290">
        <f t="shared" si="20"/>
        <v>0</v>
      </c>
    </row>
    <row r="1291" spans="1:9" x14ac:dyDescent="0.3">
      <c r="A1291">
        <v>10</v>
      </c>
      <c r="B1291">
        <v>11</v>
      </c>
      <c r="C1291" s="4">
        <v>32</v>
      </c>
      <c r="D1291" t="s">
        <v>11</v>
      </c>
      <c r="E1291" t="s">
        <v>17</v>
      </c>
      <c r="F1291">
        <v>2022</v>
      </c>
      <c r="G1291" s="4">
        <v>32</v>
      </c>
      <c r="H1291">
        <v>81</v>
      </c>
      <c r="I1291">
        <f t="shared" si="20"/>
        <v>0</v>
      </c>
    </row>
    <row r="1292" spans="1:9" x14ac:dyDescent="0.3">
      <c r="A1292">
        <v>11</v>
      </c>
      <c r="B1292">
        <v>11</v>
      </c>
      <c r="C1292" s="4">
        <v>31</v>
      </c>
      <c r="D1292" t="s">
        <v>11</v>
      </c>
      <c r="E1292" t="s">
        <v>17</v>
      </c>
      <c r="F1292">
        <v>2022</v>
      </c>
      <c r="G1292" s="4">
        <v>31</v>
      </c>
      <c r="H1292">
        <v>81</v>
      </c>
      <c r="I1292">
        <f t="shared" si="20"/>
        <v>0</v>
      </c>
    </row>
    <row r="1293" spans="1:9" x14ac:dyDescent="0.3">
      <c r="A1293">
        <v>12</v>
      </c>
      <c r="B1293">
        <v>11</v>
      </c>
      <c r="C1293" s="4">
        <v>30</v>
      </c>
      <c r="D1293" t="s">
        <v>11</v>
      </c>
      <c r="E1293" t="s">
        <v>17</v>
      </c>
      <c r="F1293">
        <v>2022</v>
      </c>
      <c r="G1293" s="4">
        <v>30</v>
      </c>
      <c r="H1293">
        <v>81</v>
      </c>
      <c r="I1293">
        <f t="shared" si="20"/>
        <v>0</v>
      </c>
    </row>
    <row r="1294" spans="1:9" x14ac:dyDescent="0.3">
      <c r="A1294">
        <v>13</v>
      </c>
      <c r="B1294">
        <v>11</v>
      </c>
      <c r="C1294" s="4">
        <v>27</v>
      </c>
      <c r="D1294" t="s">
        <v>11</v>
      </c>
      <c r="E1294" t="s">
        <v>17</v>
      </c>
      <c r="F1294">
        <v>2022</v>
      </c>
      <c r="G1294" s="4">
        <v>27</v>
      </c>
      <c r="H1294">
        <v>81</v>
      </c>
      <c r="I1294">
        <f t="shared" si="20"/>
        <v>0</v>
      </c>
    </row>
    <row r="1295" spans="1:9" x14ac:dyDescent="0.3">
      <c r="A1295">
        <v>14</v>
      </c>
      <c r="B1295">
        <v>11</v>
      </c>
      <c r="C1295" s="4">
        <v>26</v>
      </c>
      <c r="D1295" t="s">
        <v>11</v>
      </c>
      <c r="E1295" t="s">
        <v>17</v>
      </c>
      <c r="F1295">
        <v>2022</v>
      </c>
      <c r="G1295" s="4">
        <v>26</v>
      </c>
      <c r="H1295">
        <v>81</v>
      </c>
      <c r="I1295">
        <f t="shared" si="20"/>
        <v>0</v>
      </c>
    </row>
    <row r="1296" spans="1:9" x14ac:dyDescent="0.3">
      <c r="A1296">
        <v>15</v>
      </c>
      <c r="B1296">
        <v>11</v>
      </c>
      <c r="C1296" s="4">
        <v>25</v>
      </c>
      <c r="D1296" t="s">
        <v>11</v>
      </c>
      <c r="E1296" t="s">
        <v>17</v>
      </c>
      <c r="F1296">
        <v>2022</v>
      </c>
      <c r="G1296" s="4">
        <v>25</v>
      </c>
      <c r="H1296">
        <v>81</v>
      </c>
      <c r="I1296">
        <f t="shared" si="20"/>
        <v>0</v>
      </c>
    </row>
    <row r="1297" spans="1:9" x14ac:dyDescent="0.3">
      <c r="A1297">
        <v>16</v>
      </c>
      <c r="B1297">
        <v>11</v>
      </c>
      <c r="C1297" s="4">
        <v>24</v>
      </c>
      <c r="D1297" t="s">
        <v>11</v>
      </c>
      <c r="E1297" t="s">
        <v>17</v>
      </c>
      <c r="F1297">
        <v>2022</v>
      </c>
      <c r="G1297" s="4">
        <v>24</v>
      </c>
      <c r="H1297">
        <v>81</v>
      </c>
      <c r="I1297">
        <f t="shared" si="20"/>
        <v>0</v>
      </c>
    </row>
    <row r="1298" spans="1:9" x14ac:dyDescent="0.3">
      <c r="A1298">
        <v>17</v>
      </c>
      <c r="B1298">
        <v>11</v>
      </c>
      <c r="C1298" s="4">
        <v>23</v>
      </c>
      <c r="D1298" t="s">
        <v>11</v>
      </c>
      <c r="E1298" t="s">
        <v>17</v>
      </c>
      <c r="F1298">
        <v>2022</v>
      </c>
      <c r="G1298" s="4">
        <v>23</v>
      </c>
      <c r="H1298">
        <v>81</v>
      </c>
      <c r="I1298">
        <f t="shared" si="20"/>
        <v>0</v>
      </c>
    </row>
    <row r="1299" spans="1:9" x14ac:dyDescent="0.3">
      <c r="A1299">
        <v>18</v>
      </c>
      <c r="B1299">
        <v>11</v>
      </c>
      <c r="C1299" s="4">
        <v>22</v>
      </c>
      <c r="D1299" t="s">
        <v>11</v>
      </c>
      <c r="E1299" t="s">
        <v>17</v>
      </c>
      <c r="F1299">
        <v>2022</v>
      </c>
      <c r="G1299" s="4">
        <v>22</v>
      </c>
      <c r="H1299">
        <v>81</v>
      </c>
      <c r="I1299">
        <f t="shared" si="20"/>
        <v>0</v>
      </c>
    </row>
    <row r="1300" spans="1:9" x14ac:dyDescent="0.3">
      <c r="A1300">
        <v>19</v>
      </c>
      <c r="B1300">
        <v>11</v>
      </c>
      <c r="C1300" s="4">
        <v>21</v>
      </c>
      <c r="D1300" t="s">
        <v>11</v>
      </c>
      <c r="E1300" t="s">
        <v>17</v>
      </c>
      <c r="F1300">
        <v>2022</v>
      </c>
      <c r="G1300" s="4">
        <v>21</v>
      </c>
      <c r="H1300">
        <v>81</v>
      </c>
      <c r="I1300">
        <f t="shared" si="20"/>
        <v>0</v>
      </c>
    </row>
    <row r="1301" spans="1:9" x14ac:dyDescent="0.3">
      <c r="A1301">
        <v>20</v>
      </c>
      <c r="B1301">
        <v>11</v>
      </c>
      <c r="C1301" s="4">
        <v>20</v>
      </c>
      <c r="D1301" t="s">
        <v>11</v>
      </c>
      <c r="E1301" t="s">
        <v>17</v>
      </c>
      <c r="F1301">
        <v>2022</v>
      </c>
      <c r="G1301" s="4">
        <v>20</v>
      </c>
      <c r="H1301">
        <v>81</v>
      </c>
      <c r="I1301">
        <f t="shared" si="20"/>
        <v>0</v>
      </c>
    </row>
    <row r="1302" spans="1:9" x14ac:dyDescent="0.3">
      <c r="A1302">
        <v>21</v>
      </c>
      <c r="B1302">
        <v>11</v>
      </c>
      <c r="C1302" s="4">
        <v>17</v>
      </c>
      <c r="D1302" t="s">
        <v>11</v>
      </c>
      <c r="E1302" t="s">
        <v>17</v>
      </c>
      <c r="F1302">
        <v>2022</v>
      </c>
      <c r="G1302" s="4">
        <v>17</v>
      </c>
      <c r="H1302">
        <v>81</v>
      </c>
      <c r="I1302">
        <f t="shared" si="20"/>
        <v>0</v>
      </c>
    </row>
    <row r="1303" spans="1:9" x14ac:dyDescent="0.3">
      <c r="A1303">
        <v>22</v>
      </c>
      <c r="B1303">
        <v>11</v>
      </c>
      <c r="C1303" s="4">
        <v>0</v>
      </c>
      <c r="D1303" t="s">
        <v>11</v>
      </c>
      <c r="E1303" t="s">
        <v>17</v>
      </c>
      <c r="F1303">
        <v>2022</v>
      </c>
      <c r="G1303" s="4">
        <v>0</v>
      </c>
      <c r="H1303">
        <v>81</v>
      </c>
      <c r="I1303">
        <f t="shared" si="20"/>
        <v>0</v>
      </c>
    </row>
    <row r="1304" spans="1:9" x14ac:dyDescent="0.3">
      <c r="A1304">
        <v>1</v>
      </c>
      <c r="B1304">
        <v>9</v>
      </c>
      <c r="C1304" s="4">
        <v>60</v>
      </c>
      <c r="D1304" t="s">
        <v>8</v>
      </c>
      <c r="E1304" t="s">
        <v>17</v>
      </c>
      <c r="F1304">
        <v>2023</v>
      </c>
      <c r="G1304" s="4">
        <v>60</v>
      </c>
      <c r="H1304">
        <v>70</v>
      </c>
      <c r="I1304">
        <f t="shared" si="20"/>
        <v>0</v>
      </c>
    </row>
    <row r="1305" spans="1:9" x14ac:dyDescent="0.3">
      <c r="A1305">
        <v>2</v>
      </c>
      <c r="B1305">
        <v>9</v>
      </c>
      <c r="C1305" s="4">
        <v>58</v>
      </c>
      <c r="D1305" t="s">
        <v>8</v>
      </c>
      <c r="E1305" t="s">
        <v>17</v>
      </c>
      <c r="F1305">
        <v>2023</v>
      </c>
      <c r="G1305" s="4">
        <v>57.999999999999993</v>
      </c>
      <c r="H1305">
        <v>70</v>
      </c>
      <c r="I1305">
        <f t="shared" si="20"/>
        <v>0</v>
      </c>
    </row>
    <row r="1306" spans="1:9" x14ac:dyDescent="0.3">
      <c r="A1306">
        <v>3</v>
      </c>
      <c r="B1306">
        <v>9</v>
      </c>
      <c r="C1306" s="4">
        <v>55</v>
      </c>
      <c r="D1306" t="s">
        <v>8</v>
      </c>
      <c r="E1306" t="s">
        <v>17</v>
      </c>
      <c r="F1306">
        <v>2023</v>
      </c>
      <c r="G1306" s="4">
        <v>55.000000000000007</v>
      </c>
      <c r="H1306">
        <v>70</v>
      </c>
      <c r="I1306">
        <f t="shared" si="20"/>
        <v>0</v>
      </c>
    </row>
    <row r="1307" spans="1:9" x14ac:dyDescent="0.3">
      <c r="A1307">
        <v>4</v>
      </c>
      <c r="B1307">
        <v>9</v>
      </c>
      <c r="C1307" s="4">
        <v>54</v>
      </c>
      <c r="D1307" t="s">
        <v>10</v>
      </c>
      <c r="E1307" t="s">
        <v>17</v>
      </c>
      <c r="F1307">
        <v>2023</v>
      </c>
      <c r="G1307" s="4">
        <v>54</v>
      </c>
      <c r="H1307">
        <v>70</v>
      </c>
      <c r="I1307">
        <f t="shared" si="20"/>
        <v>0</v>
      </c>
    </row>
    <row r="1308" spans="1:9" x14ac:dyDescent="0.3">
      <c r="A1308">
        <v>5</v>
      </c>
      <c r="B1308">
        <v>9</v>
      </c>
      <c r="C1308" s="4">
        <v>53</v>
      </c>
      <c r="D1308" t="s">
        <v>10</v>
      </c>
      <c r="E1308" t="s">
        <v>17</v>
      </c>
      <c r="F1308">
        <v>2023</v>
      </c>
      <c r="G1308" s="4">
        <v>53</v>
      </c>
      <c r="H1308">
        <v>70</v>
      </c>
      <c r="I1308">
        <f t="shared" si="20"/>
        <v>0</v>
      </c>
    </row>
    <row r="1309" spans="1:9" x14ac:dyDescent="0.3">
      <c r="A1309">
        <v>6</v>
      </c>
      <c r="B1309">
        <v>9</v>
      </c>
      <c r="C1309" s="4">
        <v>47</v>
      </c>
      <c r="D1309" t="s">
        <v>10</v>
      </c>
      <c r="E1309" t="s">
        <v>17</v>
      </c>
      <c r="F1309">
        <v>2023</v>
      </c>
      <c r="G1309" s="4">
        <v>47</v>
      </c>
      <c r="H1309">
        <v>70</v>
      </c>
      <c r="I1309">
        <f t="shared" si="20"/>
        <v>0</v>
      </c>
    </row>
    <row r="1310" spans="1:9" x14ac:dyDescent="0.3">
      <c r="A1310">
        <v>7</v>
      </c>
      <c r="B1310">
        <v>9</v>
      </c>
      <c r="C1310" s="4">
        <v>46</v>
      </c>
      <c r="D1310" t="s">
        <v>10</v>
      </c>
      <c r="E1310" t="s">
        <v>17</v>
      </c>
      <c r="F1310">
        <v>2023</v>
      </c>
      <c r="G1310" s="4">
        <v>46</v>
      </c>
      <c r="H1310">
        <v>70</v>
      </c>
      <c r="I1310">
        <f t="shared" si="20"/>
        <v>0</v>
      </c>
    </row>
    <row r="1311" spans="1:9" x14ac:dyDescent="0.3">
      <c r="A1311">
        <v>8</v>
      </c>
      <c r="B1311">
        <v>9</v>
      </c>
      <c r="C1311" s="4">
        <v>45</v>
      </c>
      <c r="D1311" t="s">
        <v>10</v>
      </c>
      <c r="E1311" t="s">
        <v>17</v>
      </c>
      <c r="F1311">
        <v>2023</v>
      </c>
      <c r="G1311" s="4">
        <v>45</v>
      </c>
      <c r="H1311">
        <v>70</v>
      </c>
      <c r="I1311">
        <f t="shared" si="20"/>
        <v>0</v>
      </c>
    </row>
    <row r="1312" spans="1:9" x14ac:dyDescent="0.3">
      <c r="A1312">
        <v>9</v>
      </c>
      <c r="B1312">
        <v>9</v>
      </c>
      <c r="C1312" s="4">
        <v>44</v>
      </c>
      <c r="D1312" t="s">
        <v>10</v>
      </c>
      <c r="E1312" t="s">
        <v>17</v>
      </c>
      <c r="F1312">
        <v>2023</v>
      </c>
      <c r="G1312" s="4">
        <v>44</v>
      </c>
      <c r="H1312">
        <v>70</v>
      </c>
      <c r="I1312">
        <f t="shared" si="20"/>
        <v>0</v>
      </c>
    </row>
    <row r="1313" spans="1:9" x14ac:dyDescent="0.3">
      <c r="A1313">
        <v>10</v>
      </c>
      <c r="B1313">
        <v>9</v>
      </c>
      <c r="C1313" s="4">
        <v>44</v>
      </c>
      <c r="D1313" t="s">
        <v>10</v>
      </c>
      <c r="E1313" t="s">
        <v>17</v>
      </c>
      <c r="F1313">
        <v>2023</v>
      </c>
      <c r="G1313" s="4">
        <v>44</v>
      </c>
      <c r="H1313">
        <v>70</v>
      </c>
      <c r="I1313">
        <f t="shared" si="20"/>
        <v>0</v>
      </c>
    </row>
    <row r="1314" spans="1:9" x14ac:dyDescent="0.3">
      <c r="A1314">
        <v>11</v>
      </c>
      <c r="B1314">
        <v>9</v>
      </c>
      <c r="C1314" s="4">
        <v>43</v>
      </c>
      <c r="D1314" t="s">
        <v>11</v>
      </c>
      <c r="E1314" t="s">
        <v>17</v>
      </c>
      <c r="F1314">
        <v>2023</v>
      </c>
      <c r="G1314" s="4">
        <v>43</v>
      </c>
      <c r="H1314">
        <v>70</v>
      </c>
      <c r="I1314">
        <f t="shared" si="20"/>
        <v>0</v>
      </c>
    </row>
    <row r="1315" spans="1:9" x14ac:dyDescent="0.3">
      <c r="A1315">
        <v>12</v>
      </c>
      <c r="B1315">
        <v>9</v>
      </c>
      <c r="C1315" s="4">
        <v>43</v>
      </c>
      <c r="D1315" t="s">
        <v>11</v>
      </c>
      <c r="E1315" t="s">
        <v>17</v>
      </c>
      <c r="F1315">
        <v>2023</v>
      </c>
      <c r="G1315" s="4">
        <v>43</v>
      </c>
      <c r="H1315">
        <v>70</v>
      </c>
      <c r="I1315">
        <f t="shared" si="20"/>
        <v>0</v>
      </c>
    </row>
    <row r="1316" spans="1:9" x14ac:dyDescent="0.3">
      <c r="A1316">
        <v>13</v>
      </c>
      <c r="B1316">
        <v>9</v>
      </c>
      <c r="C1316" s="4">
        <v>41</v>
      </c>
      <c r="D1316" t="s">
        <v>11</v>
      </c>
      <c r="E1316" t="s">
        <v>17</v>
      </c>
      <c r="F1316">
        <v>2023</v>
      </c>
      <c r="G1316" s="4">
        <v>41</v>
      </c>
      <c r="H1316">
        <v>70</v>
      </c>
      <c r="I1316">
        <f t="shared" si="20"/>
        <v>0</v>
      </c>
    </row>
    <row r="1317" spans="1:9" x14ac:dyDescent="0.3">
      <c r="A1317">
        <v>14</v>
      </c>
      <c r="B1317">
        <v>9</v>
      </c>
      <c r="C1317" s="4">
        <v>41</v>
      </c>
      <c r="D1317" t="s">
        <v>11</v>
      </c>
      <c r="E1317" t="s">
        <v>17</v>
      </c>
      <c r="F1317">
        <v>2023</v>
      </c>
      <c r="G1317" s="4">
        <v>41</v>
      </c>
      <c r="H1317">
        <v>70</v>
      </c>
      <c r="I1317">
        <f t="shared" si="20"/>
        <v>0</v>
      </c>
    </row>
    <row r="1318" spans="1:9" x14ac:dyDescent="0.3">
      <c r="A1318">
        <v>15</v>
      </c>
      <c r="B1318">
        <v>9</v>
      </c>
      <c r="C1318" s="4">
        <v>38</v>
      </c>
      <c r="D1318" t="s">
        <v>11</v>
      </c>
      <c r="E1318" t="s">
        <v>17</v>
      </c>
      <c r="F1318">
        <v>2023</v>
      </c>
      <c r="G1318" s="4">
        <v>38</v>
      </c>
      <c r="H1318">
        <v>70</v>
      </c>
      <c r="I1318">
        <f t="shared" si="20"/>
        <v>0</v>
      </c>
    </row>
    <row r="1319" spans="1:9" x14ac:dyDescent="0.3">
      <c r="A1319">
        <v>16</v>
      </c>
      <c r="B1319">
        <v>9</v>
      </c>
      <c r="C1319" s="4">
        <v>38</v>
      </c>
      <c r="D1319" t="s">
        <v>11</v>
      </c>
      <c r="E1319" t="s">
        <v>17</v>
      </c>
      <c r="F1319">
        <v>2023</v>
      </c>
      <c r="G1319" s="4">
        <v>38</v>
      </c>
      <c r="H1319">
        <v>70</v>
      </c>
      <c r="I1319">
        <f t="shared" si="20"/>
        <v>0</v>
      </c>
    </row>
    <row r="1320" spans="1:9" x14ac:dyDescent="0.3">
      <c r="A1320">
        <v>17</v>
      </c>
      <c r="B1320">
        <v>9</v>
      </c>
      <c r="C1320" s="4">
        <v>36</v>
      </c>
      <c r="D1320" t="s">
        <v>11</v>
      </c>
      <c r="E1320" t="s">
        <v>17</v>
      </c>
      <c r="F1320">
        <v>2023</v>
      </c>
      <c r="G1320" s="4">
        <v>36</v>
      </c>
      <c r="H1320">
        <v>70</v>
      </c>
      <c r="I1320">
        <f t="shared" si="20"/>
        <v>0</v>
      </c>
    </row>
    <row r="1321" spans="1:9" x14ac:dyDescent="0.3">
      <c r="A1321">
        <v>18</v>
      </c>
      <c r="B1321">
        <v>9</v>
      </c>
      <c r="C1321" s="4">
        <v>33</v>
      </c>
      <c r="D1321" t="s">
        <v>11</v>
      </c>
      <c r="E1321" t="s">
        <v>17</v>
      </c>
      <c r="F1321">
        <v>2023</v>
      </c>
      <c r="G1321" s="4">
        <v>33</v>
      </c>
      <c r="H1321">
        <v>70</v>
      </c>
      <c r="I1321">
        <f t="shared" si="20"/>
        <v>0</v>
      </c>
    </row>
    <row r="1322" spans="1:9" x14ac:dyDescent="0.3">
      <c r="A1322">
        <v>19</v>
      </c>
      <c r="B1322">
        <v>9</v>
      </c>
      <c r="C1322" s="4">
        <v>33</v>
      </c>
      <c r="D1322" t="s">
        <v>11</v>
      </c>
      <c r="E1322" t="s">
        <v>17</v>
      </c>
      <c r="F1322">
        <v>2023</v>
      </c>
      <c r="G1322" s="4">
        <v>33</v>
      </c>
      <c r="H1322">
        <v>70</v>
      </c>
      <c r="I1322">
        <f t="shared" si="20"/>
        <v>0</v>
      </c>
    </row>
    <row r="1323" spans="1:9" x14ac:dyDescent="0.3">
      <c r="A1323">
        <v>20</v>
      </c>
      <c r="B1323">
        <v>9</v>
      </c>
      <c r="C1323" s="4">
        <v>33</v>
      </c>
      <c r="D1323" t="s">
        <v>11</v>
      </c>
      <c r="E1323" t="s">
        <v>17</v>
      </c>
      <c r="F1323">
        <v>2023</v>
      </c>
      <c r="G1323" s="4">
        <v>33</v>
      </c>
      <c r="H1323">
        <v>70</v>
      </c>
      <c r="I1323">
        <f t="shared" si="20"/>
        <v>0</v>
      </c>
    </row>
    <row r="1324" spans="1:9" x14ac:dyDescent="0.3">
      <c r="A1324">
        <v>21</v>
      </c>
      <c r="B1324">
        <v>9</v>
      </c>
      <c r="C1324" s="4">
        <v>31</v>
      </c>
      <c r="D1324" t="s">
        <v>11</v>
      </c>
      <c r="E1324" t="s">
        <v>17</v>
      </c>
      <c r="F1324">
        <v>2023</v>
      </c>
      <c r="G1324" s="4">
        <v>31</v>
      </c>
      <c r="H1324">
        <v>70</v>
      </c>
      <c r="I1324">
        <f t="shared" si="20"/>
        <v>0</v>
      </c>
    </row>
    <row r="1325" spans="1:9" x14ac:dyDescent="0.3">
      <c r="A1325">
        <v>22</v>
      </c>
      <c r="B1325">
        <v>9</v>
      </c>
      <c r="C1325" s="4">
        <v>31</v>
      </c>
      <c r="D1325" t="s">
        <v>11</v>
      </c>
      <c r="E1325" t="s">
        <v>17</v>
      </c>
      <c r="F1325">
        <v>2023</v>
      </c>
      <c r="G1325" s="4">
        <v>31</v>
      </c>
      <c r="H1325">
        <v>70</v>
      </c>
      <c r="I1325">
        <f t="shared" si="20"/>
        <v>0</v>
      </c>
    </row>
    <row r="1326" spans="1:9" x14ac:dyDescent="0.3">
      <c r="A1326">
        <v>23</v>
      </c>
      <c r="B1326">
        <v>9</v>
      </c>
      <c r="C1326" s="4">
        <v>30</v>
      </c>
      <c r="D1326" t="s">
        <v>11</v>
      </c>
      <c r="E1326" t="s">
        <v>17</v>
      </c>
      <c r="F1326">
        <v>2023</v>
      </c>
      <c r="G1326" s="4">
        <v>30</v>
      </c>
      <c r="H1326">
        <v>70</v>
      </c>
      <c r="I1326">
        <f t="shared" si="20"/>
        <v>0</v>
      </c>
    </row>
    <row r="1327" spans="1:9" x14ac:dyDescent="0.3">
      <c r="A1327">
        <v>24</v>
      </c>
      <c r="B1327">
        <v>9</v>
      </c>
      <c r="C1327" s="4">
        <v>29</v>
      </c>
      <c r="D1327" t="s">
        <v>11</v>
      </c>
      <c r="E1327" t="s">
        <v>17</v>
      </c>
      <c r="F1327">
        <v>2023</v>
      </c>
      <c r="G1327" s="4">
        <v>29</v>
      </c>
      <c r="H1327">
        <v>70</v>
      </c>
      <c r="I1327">
        <f t="shared" si="20"/>
        <v>0</v>
      </c>
    </row>
    <row r="1328" spans="1:9" x14ac:dyDescent="0.3">
      <c r="A1328">
        <v>25</v>
      </c>
      <c r="B1328">
        <v>9</v>
      </c>
      <c r="C1328" s="4">
        <v>23</v>
      </c>
      <c r="D1328" t="s">
        <v>11</v>
      </c>
      <c r="E1328" t="s">
        <v>17</v>
      </c>
      <c r="F1328">
        <v>2023</v>
      </c>
      <c r="G1328" s="4">
        <v>23</v>
      </c>
      <c r="H1328">
        <v>70</v>
      </c>
      <c r="I1328">
        <f t="shared" si="20"/>
        <v>0</v>
      </c>
    </row>
    <row r="1329" spans="1:9" x14ac:dyDescent="0.3">
      <c r="A1329">
        <v>26</v>
      </c>
      <c r="B1329">
        <v>9</v>
      </c>
      <c r="C1329" s="4">
        <v>21</v>
      </c>
      <c r="D1329" t="s">
        <v>11</v>
      </c>
      <c r="E1329" t="s">
        <v>17</v>
      </c>
      <c r="F1329">
        <v>2023</v>
      </c>
      <c r="G1329" s="4">
        <v>21</v>
      </c>
      <c r="H1329">
        <v>70</v>
      </c>
      <c r="I1329">
        <f t="shared" si="20"/>
        <v>0</v>
      </c>
    </row>
    <row r="1330" spans="1:9" x14ac:dyDescent="0.3">
      <c r="A1330">
        <v>27</v>
      </c>
      <c r="B1330">
        <v>9</v>
      </c>
      <c r="C1330" s="4">
        <v>20</v>
      </c>
      <c r="D1330" t="s">
        <v>11</v>
      </c>
      <c r="E1330" t="s">
        <v>17</v>
      </c>
      <c r="F1330">
        <v>2023</v>
      </c>
      <c r="G1330" s="4">
        <v>20</v>
      </c>
      <c r="H1330">
        <v>70</v>
      </c>
      <c r="I1330">
        <f t="shared" si="20"/>
        <v>0</v>
      </c>
    </row>
    <row r="1331" spans="1:9" x14ac:dyDescent="0.3">
      <c r="A1331">
        <v>28</v>
      </c>
      <c r="B1331">
        <v>9</v>
      </c>
      <c r="C1331" s="4">
        <v>19</v>
      </c>
      <c r="D1331" t="s">
        <v>11</v>
      </c>
      <c r="E1331" t="s">
        <v>17</v>
      </c>
      <c r="F1331">
        <v>2023</v>
      </c>
      <c r="G1331" s="4">
        <v>19</v>
      </c>
      <c r="H1331">
        <v>70</v>
      </c>
      <c r="I1331">
        <f t="shared" si="20"/>
        <v>0</v>
      </c>
    </row>
    <row r="1332" spans="1:9" x14ac:dyDescent="0.3">
      <c r="A1332">
        <v>1</v>
      </c>
      <c r="B1332">
        <v>10</v>
      </c>
      <c r="C1332" s="4">
        <v>60</v>
      </c>
      <c r="D1332" t="s">
        <v>8</v>
      </c>
      <c r="E1332" t="s">
        <v>17</v>
      </c>
      <c r="F1332">
        <v>2023</v>
      </c>
      <c r="G1332" s="4">
        <v>60</v>
      </c>
      <c r="H1332">
        <v>79</v>
      </c>
      <c r="I1332">
        <f t="shared" si="20"/>
        <v>0</v>
      </c>
    </row>
    <row r="1333" spans="1:9" x14ac:dyDescent="0.3">
      <c r="A1333">
        <v>2</v>
      </c>
      <c r="B1333">
        <v>10</v>
      </c>
      <c r="C1333" s="4">
        <v>55</v>
      </c>
      <c r="D1333" t="s">
        <v>8</v>
      </c>
      <c r="E1333" t="s">
        <v>17</v>
      </c>
      <c r="F1333">
        <v>2023</v>
      </c>
      <c r="G1333" s="4">
        <v>55.000000000000007</v>
      </c>
      <c r="H1333">
        <v>79</v>
      </c>
      <c r="I1333">
        <f t="shared" si="20"/>
        <v>0</v>
      </c>
    </row>
    <row r="1334" spans="1:9" x14ac:dyDescent="0.3">
      <c r="A1334">
        <v>3</v>
      </c>
      <c r="B1334">
        <v>10</v>
      </c>
      <c r="C1334" s="4">
        <v>55</v>
      </c>
      <c r="D1334" t="s">
        <v>8</v>
      </c>
      <c r="E1334" t="s">
        <v>17</v>
      </c>
      <c r="F1334">
        <v>2023</v>
      </c>
      <c r="G1334" s="4">
        <v>55.000000000000007</v>
      </c>
      <c r="H1334">
        <v>79</v>
      </c>
      <c r="I1334">
        <f t="shared" si="20"/>
        <v>0</v>
      </c>
    </row>
    <row r="1335" spans="1:9" x14ac:dyDescent="0.3">
      <c r="A1335">
        <v>4</v>
      </c>
      <c r="B1335">
        <v>10</v>
      </c>
      <c r="C1335" s="4">
        <v>54</v>
      </c>
      <c r="D1335" t="s">
        <v>10</v>
      </c>
      <c r="E1335" t="s">
        <v>17</v>
      </c>
      <c r="F1335">
        <v>2023</v>
      </c>
      <c r="G1335" s="4">
        <v>54</v>
      </c>
      <c r="H1335">
        <v>79</v>
      </c>
      <c r="I1335">
        <f t="shared" si="20"/>
        <v>0</v>
      </c>
    </row>
    <row r="1336" spans="1:9" x14ac:dyDescent="0.3">
      <c r="A1336">
        <v>5</v>
      </c>
      <c r="B1336">
        <v>10</v>
      </c>
      <c r="C1336" s="4">
        <v>52</v>
      </c>
      <c r="D1336" t="s">
        <v>10</v>
      </c>
      <c r="E1336" t="s">
        <v>17</v>
      </c>
      <c r="F1336">
        <v>2023</v>
      </c>
      <c r="G1336" s="4">
        <v>52</v>
      </c>
      <c r="H1336">
        <v>79</v>
      </c>
      <c r="I1336">
        <f t="shared" si="20"/>
        <v>0</v>
      </c>
    </row>
    <row r="1337" spans="1:9" x14ac:dyDescent="0.3">
      <c r="A1337">
        <v>6</v>
      </c>
      <c r="B1337">
        <v>10</v>
      </c>
      <c r="C1337" s="4">
        <v>51</v>
      </c>
      <c r="D1337" t="s">
        <v>10</v>
      </c>
      <c r="E1337" t="s">
        <v>17</v>
      </c>
      <c r="F1337">
        <v>2023</v>
      </c>
      <c r="G1337" s="4">
        <v>51</v>
      </c>
      <c r="H1337">
        <v>79</v>
      </c>
      <c r="I1337">
        <f t="shared" si="20"/>
        <v>0</v>
      </c>
    </row>
    <row r="1338" spans="1:9" x14ac:dyDescent="0.3">
      <c r="A1338">
        <v>7</v>
      </c>
      <c r="B1338">
        <v>10</v>
      </c>
      <c r="C1338" s="4">
        <v>51</v>
      </c>
      <c r="D1338" t="s">
        <v>10</v>
      </c>
      <c r="E1338" t="s">
        <v>17</v>
      </c>
      <c r="F1338">
        <v>2023</v>
      </c>
      <c r="G1338" s="4">
        <v>51</v>
      </c>
      <c r="H1338">
        <v>79</v>
      </c>
      <c r="I1338">
        <f t="shared" si="20"/>
        <v>0</v>
      </c>
    </row>
    <row r="1339" spans="1:9" x14ac:dyDescent="0.3">
      <c r="A1339">
        <v>8</v>
      </c>
      <c r="B1339">
        <v>10</v>
      </c>
      <c r="C1339" s="4">
        <v>46</v>
      </c>
      <c r="D1339" t="s">
        <v>10</v>
      </c>
      <c r="E1339" t="s">
        <v>17</v>
      </c>
      <c r="F1339">
        <v>2023</v>
      </c>
      <c r="G1339" s="4">
        <v>46</v>
      </c>
      <c r="H1339">
        <v>79</v>
      </c>
      <c r="I1339">
        <f t="shared" si="20"/>
        <v>0</v>
      </c>
    </row>
    <row r="1340" spans="1:9" x14ac:dyDescent="0.3">
      <c r="A1340">
        <v>9</v>
      </c>
      <c r="B1340">
        <v>10</v>
      </c>
      <c r="C1340" s="4">
        <v>42</v>
      </c>
      <c r="D1340" t="s">
        <v>11</v>
      </c>
      <c r="E1340" t="s">
        <v>17</v>
      </c>
      <c r="F1340">
        <v>2023</v>
      </c>
      <c r="G1340" s="4">
        <v>42</v>
      </c>
      <c r="H1340">
        <v>79</v>
      </c>
      <c r="I1340">
        <f t="shared" si="20"/>
        <v>0</v>
      </c>
    </row>
    <row r="1341" spans="1:9" x14ac:dyDescent="0.3">
      <c r="A1341">
        <v>10</v>
      </c>
      <c r="B1341">
        <v>10</v>
      </c>
      <c r="C1341" s="4">
        <v>42</v>
      </c>
      <c r="D1341" t="s">
        <v>11</v>
      </c>
      <c r="E1341" t="s">
        <v>17</v>
      </c>
      <c r="F1341">
        <v>2023</v>
      </c>
      <c r="G1341" s="4">
        <v>42</v>
      </c>
      <c r="H1341">
        <v>79</v>
      </c>
      <c r="I1341">
        <f t="shared" si="20"/>
        <v>0</v>
      </c>
    </row>
    <row r="1342" spans="1:9" x14ac:dyDescent="0.3">
      <c r="A1342">
        <v>11</v>
      </c>
      <c r="B1342">
        <v>10</v>
      </c>
      <c r="C1342" s="4">
        <v>41</v>
      </c>
      <c r="D1342" t="s">
        <v>11</v>
      </c>
      <c r="E1342" t="s">
        <v>17</v>
      </c>
      <c r="F1342">
        <v>2023</v>
      </c>
      <c r="G1342" s="4">
        <v>41</v>
      </c>
      <c r="H1342">
        <v>79</v>
      </c>
      <c r="I1342">
        <f t="shared" si="20"/>
        <v>0</v>
      </c>
    </row>
    <row r="1343" spans="1:9" x14ac:dyDescent="0.3">
      <c r="A1343">
        <v>12</v>
      </c>
      <c r="B1343">
        <v>10</v>
      </c>
      <c r="C1343" s="4">
        <v>41</v>
      </c>
      <c r="D1343" t="s">
        <v>11</v>
      </c>
      <c r="E1343" t="s">
        <v>17</v>
      </c>
      <c r="F1343">
        <v>2023</v>
      </c>
      <c r="G1343" s="4">
        <v>41</v>
      </c>
      <c r="H1343">
        <v>79</v>
      </c>
      <c r="I1343">
        <f t="shared" si="20"/>
        <v>0</v>
      </c>
    </row>
    <row r="1344" spans="1:9" x14ac:dyDescent="0.3">
      <c r="A1344">
        <v>13</v>
      </c>
      <c r="B1344">
        <v>10</v>
      </c>
      <c r="C1344" s="4">
        <v>41</v>
      </c>
      <c r="D1344" t="s">
        <v>11</v>
      </c>
      <c r="E1344" t="s">
        <v>17</v>
      </c>
      <c r="F1344">
        <v>2023</v>
      </c>
      <c r="G1344" s="4">
        <v>41</v>
      </c>
      <c r="H1344">
        <v>79</v>
      </c>
      <c r="I1344">
        <f t="shared" si="20"/>
        <v>0</v>
      </c>
    </row>
    <row r="1345" spans="1:9" x14ac:dyDescent="0.3">
      <c r="A1345">
        <v>14</v>
      </c>
      <c r="B1345">
        <v>10</v>
      </c>
      <c r="C1345" s="4">
        <v>41</v>
      </c>
      <c r="D1345" t="s">
        <v>11</v>
      </c>
      <c r="E1345" t="s">
        <v>17</v>
      </c>
      <c r="F1345">
        <v>2023</v>
      </c>
      <c r="G1345" s="4">
        <v>41</v>
      </c>
      <c r="H1345">
        <v>79</v>
      </c>
      <c r="I1345">
        <f t="shared" si="20"/>
        <v>0</v>
      </c>
    </row>
    <row r="1346" spans="1:9" x14ac:dyDescent="0.3">
      <c r="A1346">
        <v>15</v>
      </c>
      <c r="B1346">
        <v>10</v>
      </c>
      <c r="C1346" s="4">
        <v>40</v>
      </c>
      <c r="D1346" t="s">
        <v>11</v>
      </c>
      <c r="E1346" t="s">
        <v>17</v>
      </c>
      <c r="F1346">
        <v>2023</v>
      </c>
      <c r="G1346" s="4">
        <v>40</v>
      </c>
      <c r="H1346">
        <v>79</v>
      </c>
      <c r="I1346">
        <f t="shared" si="20"/>
        <v>0</v>
      </c>
    </row>
    <row r="1347" spans="1:9" x14ac:dyDescent="0.3">
      <c r="A1347">
        <v>16</v>
      </c>
      <c r="B1347">
        <v>10</v>
      </c>
      <c r="C1347" s="4">
        <v>39</v>
      </c>
      <c r="D1347" t="s">
        <v>11</v>
      </c>
      <c r="E1347" t="s">
        <v>17</v>
      </c>
      <c r="F1347">
        <v>2023</v>
      </c>
      <c r="G1347" s="4">
        <v>39</v>
      </c>
      <c r="H1347">
        <v>79</v>
      </c>
      <c r="I1347">
        <f t="shared" ref="I1347:I1410" si="21">IF(C1347&gt;=H1347,1,0)</f>
        <v>0</v>
      </c>
    </row>
    <row r="1348" spans="1:9" x14ac:dyDescent="0.3">
      <c r="A1348">
        <v>17</v>
      </c>
      <c r="B1348">
        <v>10</v>
      </c>
      <c r="C1348" s="4">
        <v>39</v>
      </c>
      <c r="D1348" t="s">
        <v>11</v>
      </c>
      <c r="E1348" t="s">
        <v>17</v>
      </c>
      <c r="F1348">
        <v>2023</v>
      </c>
      <c r="G1348" s="4">
        <v>39</v>
      </c>
      <c r="H1348">
        <v>79</v>
      </c>
      <c r="I1348">
        <f t="shared" si="21"/>
        <v>0</v>
      </c>
    </row>
    <row r="1349" spans="1:9" x14ac:dyDescent="0.3">
      <c r="A1349">
        <v>18</v>
      </c>
      <c r="B1349">
        <v>10</v>
      </c>
      <c r="C1349" s="4">
        <v>36</v>
      </c>
      <c r="D1349" t="s">
        <v>11</v>
      </c>
      <c r="E1349" t="s">
        <v>17</v>
      </c>
      <c r="F1349">
        <v>2023</v>
      </c>
      <c r="G1349" s="4">
        <v>36</v>
      </c>
      <c r="H1349">
        <v>79</v>
      </c>
      <c r="I1349">
        <f t="shared" si="21"/>
        <v>0</v>
      </c>
    </row>
    <row r="1350" spans="1:9" x14ac:dyDescent="0.3">
      <c r="A1350">
        <v>19</v>
      </c>
      <c r="B1350">
        <v>10</v>
      </c>
      <c r="C1350" s="4">
        <v>36</v>
      </c>
      <c r="D1350" t="s">
        <v>11</v>
      </c>
      <c r="E1350" t="s">
        <v>17</v>
      </c>
      <c r="F1350">
        <v>2023</v>
      </c>
      <c r="G1350" s="4">
        <v>36</v>
      </c>
      <c r="H1350">
        <v>79</v>
      </c>
      <c r="I1350">
        <f t="shared" si="21"/>
        <v>0</v>
      </c>
    </row>
    <row r="1351" spans="1:9" x14ac:dyDescent="0.3">
      <c r="A1351">
        <v>20</v>
      </c>
      <c r="B1351">
        <v>10</v>
      </c>
      <c r="C1351" s="4">
        <v>36</v>
      </c>
      <c r="D1351" t="s">
        <v>11</v>
      </c>
      <c r="E1351" t="s">
        <v>17</v>
      </c>
      <c r="F1351">
        <v>2023</v>
      </c>
      <c r="G1351" s="4">
        <v>36</v>
      </c>
      <c r="H1351">
        <v>79</v>
      </c>
      <c r="I1351">
        <f t="shared" si="21"/>
        <v>0</v>
      </c>
    </row>
    <row r="1352" spans="1:9" x14ac:dyDescent="0.3">
      <c r="A1352">
        <v>21</v>
      </c>
      <c r="B1352">
        <v>10</v>
      </c>
      <c r="C1352" s="4">
        <v>35</v>
      </c>
      <c r="D1352" t="s">
        <v>11</v>
      </c>
      <c r="E1352" t="s">
        <v>17</v>
      </c>
      <c r="F1352">
        <v>2023</v>
      </c>
      <c r="G1352" s="4">
        <v>35</v>
      </c>
      <c r="H1352">
        <v>79</v>
      </c>
      <c r="I1352">
        <f t="shared" si="21"/>
        <v>0</v>
      </c>
    </row>
    <row r="1353" spans="1:9" x14ac:dyDescent="0.3">
      <c r="A1353">
        <v>22</v>
      </c>
      <c r="B1353">
        <v>10</v>
      </c>
      <c r="C1353" s="4">
        <v>35</v>
      </c>
      <c r="D1353" t="s">
        <v>11</v>
      </c>
      <c r="E1353" t="s">
        <v>17</v>
      </c>
      <c r="F1353">
        <v>2023</v>
      </c>
      <c r="G1353" s="4">
        <v>35</v>
      </c>
      <c r="H1353">
        <v>79</v>
      </c>
      <c r="I1353">
        <f t="shared" si="21"/>
        <v>0</v>
      </c>
    </row>
    <row r="1354" spans="1:9" x14ac:dyDescent="0.3">
      <c r="A1354">
        <v>23</v>
      </c>
      <c r="B1354">
        <v>10</v>
      </c>
      <c r="C1354" s="4">
        <v>34</v>
      </c>
      <c r="D1354" t="s">
        <v>11</v>
      </c>
      <c r="E1354" t="s">
        <v>17</v>
      </c>
      <c r="F1354">
        <v>2023</v>
      </c>
      <c r="G1354" s="4">
        <v>34</v>
      </c>
      <c r="H1354">
        <v>79</v>
      </c>
      <c r="I1354">
        <f t="shared" si="21"/>
        <v>0</v>
      </c>
    </row>
    <row r="1355" spans="1:9" x14ac:dyDescent="0.3">
      <c r="A1355">
        <v>24</v>
      </c>
      <c r="B1355">
        <v>10</v>
      </c>
      <c r="C1355" s="4">
        <v>33</v>
      </c>
      <c r="D1355" t="s">
        <v>11</v>
      </c>
      <c r="E1355" t="s">
        <v>17</v>
      </c>
      <c r="F1355">
        <v>2023</v>
      </c>
      <c r="G1355" s="4">
        <v>33</v>
      </c>
      <c r="H1355">
        <v>79</v>
      </c>
      <c r="I1355">
        <f t="shared" si="21"/>
        <v>0</v>
      </c>
    </row>
    <row r="1356" spans="1:9" x14ac:dyDescent="0.3">
      <c r="A1356">
        <v>25</v>
      </c>
      <c r="B1356">
        <v>10</v>
      </c>
      <c r="C1356" s="4">
        <v>31</v>
      </c>
      <c r="D1356" t="s">
        <v>11</v>
      </c>
      <c r="E1356" t="s">
        <v>17</v>
      </c>
      <c r="F1356">
        <v>2023</v>
      </c>
      <c r="G1356" s="4">
        <v>31</v>
      </c>
      <c r="H1356">
        <v>79</v>
      </c>
      <c r="I1356">
        <f t="shared" si="21"/>
        <v>0</v>
      </c>
    </row>
    <row r="1357" spans="1:9" x14ac:dyDescent="0.3">
      <c r="A1357">
        <v>26</v>
      </c>
      <c r="B1357">
        <v>10</v>
      </c>
      <c r="C1357" s="4">
        <v>29</v>
      </c>
      <c r="D1357" t="s">
        <v>11</v>
      </c>
      <c r="E1357" t="s">
        <v>17</v>
      </c>
      <c r="F1357">
        <v>2023</v>
      </c>
      <c r="G1357" s="4">
        <v>29</v>
      </c>
      <c r="H1357">
        <v>79</v>
      </c>
      <c r="I1357">
        <f t="shared" si="21"/>
        <v>0</v>
      </c>
    </row>
    <row r="1358" spans="1:9" x14ac:dyDescent="0.3">
      <c r="A1358">
        <v>27</v>
      </c>
      <c r="B1358">
        <v>10</v>
      </c>
      <c r="C1358" s="4">
        <v>29</v>
      </c>
      <c r="D1358" t="s">
        <v>11</v>
      </c>
      <c r="E1358" t="s">
        <v>17</v>
      </c>
      <c r="F1358">
        <v>2023</v>
      </c>
      <c r="G1358" s="4">
        <v>29</v>
      </c>
      <c r="H1358">
        <v>79</v>
      </c>
      <c r="I1358">
        <f t="shared" si="21"/>
        <v>0</v>
      </c>
    </row>
    <row r="1359" spans="1:9" x14ac:dyDescent="0.3">
      <c r="A1359">
        <v>28</v>
      </c>
      <c r="B1359">
        <v>10</v>
      </c>
      <c r="C1359" s="4">
        <v>26</v>
      </c>
      <c r="D1359" t="s">
        <v>11</v>
      </c>
      <c r="E1359" t="s">
        <v>17</v>
      </c>
      <c r="F1359">
        <v>2023</v>
      </c>
      <c r="G1359" s="4">
        <v>26</v>
      </c>
      <c r="H1359">
        <v>79</v>
      </c>
      <c r="I1359">
        <f t="shared" si="21"/>
        <v>0</v>
      </c>
    </row>
    <row r="1360" spans="1:9" x14ac:dyDescent="0.3">
      <c r="A1360">
        <v>29</v>
      </c>
      <c r="B1360">
        <v>10</v>
      </c>
      <c r="C1360" s="4">
        <v>25</v>
      </c>
      <c r="D1360" t="s">
        <v>11</v>
      </c>
      <c r="E1360" t="s">
        <v>17</v>
      </c>
      <c r="F1360">
        <v>2023</v>
      </c>
      <c r="G1360" s="4">
        <v>25</v>
      </c>
      <c r="H1360">
        <v>79</v>
      </c>
      <c r="I1360">
        <f t="shared" si="21"/>
        <v>0</v>
      </c>
    </row>
    <row r="1361" spans="1:9" x14ac:dyDescent="0.3">
      <c r="A1361">
        <v>30</v>
      </c>
      <c r="B1361">
        <v>10</v>
      </c>
      <c r="C1361" s="4">
        <v>25</v>
      </c>
      <c r="D1361" t="s">
        <v>11</v>
      </c>
      <c r="E1361" t="s">
        <v>17</v>
      </c>
      <c r="F1361">
        <v>2023</v>
      </c>
      <c r="G1361" s="4">
        <v>25</v>
      </c>
      <c r="H1361">
        <v>79</v>
      </c>
      <c r="I1361">
        <f t="shared" si="21"/>
        <v>0</v>
      </c>
    </row>
    <row r="1362" spans="1:9" x14ac:dyDescent="0.3">
      <c r="A1362">
        <v>31</v>
      </c>
      <c r="B1362">
        <v>10</v>
      </c>
      <c r="C1362" s="4">
        <v>21</v>
      </c>
      <c r="D1362" t="s">
        <v>11</v>
      </c>
      <c r="E1362" t="s">
        <v>17</v>
      </c>
      <c r="F1362">
        <v>2023</v>
      </c>
      <c r="G1362" s="4">
        <v>21</v>
      </c>
      <c r="H1362">
        <v>79</v>
      </c>
      <c r="I1362">
        <f t="shared" si="21"/>
        <v>0</v>
      </c>
    </row>
    <row r="1363" spans="1:9" x14ac:dyDescent="0.3">
      <c r="A1363">
        <v>32</v>
      </c>
      <c r="B1363">
        <v>10</v>
      </c>
      <c r="C1363" s="4">
        <v>16</v>
      </c>
      <c r="D1363" t="s">
        <v>11</v>
      </c>
      <c r="E1363" t="s">
        <v>17</v>
      </c>
      <c r="F1363">
        <v>2023</v>
      </c>
      <c r="G1363" s="4">
        <v>16</v>
      </c>
      <c r="H1363">
        <v>79</v>
      </c>
      <c r="I1363">
        <f t="shared" si="21"/>
        <v>0</v>
      </c>
    </row>
    <row r="1364" spans="1:9" x14ac:dyDescent="0.3">
      <c r="A1364">
        <v>1</v>
      </c>
      <c r="B1364">
        <v>11</v>
      </c>
      <c r="C1364" s="4">
        <v>61</v>
      </c>
      <c r="D1364" t="s">
        <v>8</v>
      </c>
      <c r="E1364" t="s">
        <v>17</v>
      </c>
      <c r="F1364">
        <v>2023</v>
      </c>
      <c r="G1364" s="4">
        <v>61</v>
      </c>
      <c r="H1364">
        <v>86</v>
      </c>
      <c r="I1364">
        <f t="shared" si="21"/>
        <v>0</v>
      </c>
    </row>
    <row r="1365" spans="1:9" x14ac:dyDescent="0.3">
      <c r="A1365">
        <v>2</v>
      </c>
      <c r="B1365">
        <v>11</v>
      </c>
      <c r="C1365" s="4">
        <v>55</v>
      </c>
      <c r="D1365" t="s">
        <v>8</v>
      </c>
      <c r="E1365" t="s">
        <v>17</v>
      </c>
      <c r="F1365">
        <v>2023</v>
      </c>
      <c r="G1365" s="4">
        <v>55.000000000000007</v>
      </c>
      <c r="H1365">
        <v>86</v>
      </c>
      <c r="I1365">
        <f t="shared" si="21"/>
        <v>0</v>
      </c>
    </row>
    <row r="1366" spans="1:9" x14ac:dyDescent="0.3">
      <c r="A1366">
        <v>3</v>
      </c>
      <c r="B1366">
        <v>11</v>
      </c>
      <c r="C1366" s="4">
        <v>55</v>
      </c>
      <c r="D1366" t="s">
        <v>8</v>
      </c>
      <c r="E1366" t="s">
        <v>17</v>
      </c>
      <c r="F1366">
        <v>2023</v>
      </c>
      <c r="G1366" s="4">
        <v>55.000000000000007</v>
      </c>
      <c r="H1366">
        <v>86</v>
      </c>
      <c r="I1366">
        <f t="shared" si="21"/>
        <v>0</v>
      </c>
    </row>
    <row r="1367" spans="1:9" x14ac:dyDescent="0.3">
      <c r="A1367">
        <v>4</v>
      </c>
      <c r="B1367">
        <v>11</v>
      </c>
      <c r="C1367" s="4">
        <v>55</v>
      </c>
      <c r="D1367" t="s">
        <v>8</v>
      </c>
      <c r="E1367" t="s">
        <v>17</v>
      </c>
      <c r="F1367">
        <v>2023</v>
      </c>
      <c r="G1367" s="4">
        <v>55.000000000000007</v>
      </c>
      <c r="H1367">
        <v>86</v>
      </c>
      <c r="I1367">
        <f t="shared" si="21"/>
        <v>0</v>
      </c>
    </row>
    <row r="1368" spans="1:9" x14ac:dyDescent="0.3">
      <c r="A1368">
        <v>5</v>
      </c>
      <c r="B1368">
        <v>11</v>
      </c>
      <c r="C1368" s="4">
        <v>54</v>
      </c>
      <c r="D1368" t="s">
        <v>10</v>
      </c>
      <c r="E1368" t="s">
        <v>17</v>
      </c>
      <c r="F1368">
        <v>2023</v>
      </c>
      <c r="G1368" s="4">
        <v>54</v>
      </c>
      <c r="H1368">
        <v>86</v>
      </c>
      <c r="I1368">
        <f t="shared" si="21"/>
        <v>0</v>
      </c>
    </row>
    <row r="1369" spans="1:9" x14ac:dyDescent="0.3">
      <c r="A1369">
        <v>6</v>
      </c>
      <c r="B1369">
        <v>11</v>
      </c>
      <c r="C1369" s="4">
        <v>53</v>
      </c>
      <c r="D1369" t="s">
        <v>10</v>
      </c>
      <c r="E1369" t="s">
        <v>17</v>
      </c>
      <c r="F1369">
        <v>2023</v>
      </c>
      <c r="G1369" s="4">
        <v>53</v>
      </c>
      <c r="H1369">
        <v>86</v>
      </c>
      <c r="I1369">
        <f t="shared" si="21"/>
        <v>0</v>
      </c>
    </row>
    <row r="1370" spans="1:9" x14ac:dyDescent="0.3">
      <c r="A1370">
        <v>7</v>
      </c>
      <c r="B1370">
        <v>11</v>
      </c>
      <c r="C1370" s="4">
        <v>52</v>
      </c>
      <c r="D1370" t="s">
        <v>10</v>
      </c>
      <c r="E1370" t="s">
        <v>17</v>
      </c>
      <c r="F1370">
        <v>2023</v>
      </c>
      <c r="G1370" s="4">
        <v>52</v>
      </c>
      <c r="H1370">
        <v>86</v>
      </c>
      <c r="I1370">
        <f t="shared" si="21"/>
        <v>0</v>
      </c>
    </row>
    <row r="1371" spans="1:9" x14ac:dyDescent="0.3">
      <c r="A1371">
        <v>8</v>
      </c>
      <c r="B1371">
        <v>11</v>
      </c>
      <c r="C1371" s="4">
        <v>52</v>
      </c>
      <c r="D1371" t="s">
        <v>10</v>
      </c>
      <c r="E1371" t="s">
        <v>17</v>
      </c>
      <c r="F1371">
        <v>2023</v>
      </c>
      <c r="G1371" s="4">
        <v>52</v>
      </c>
      <c r="H1371">
        <v>86</v>
      </c>
      <c r="I1371">
        <f t="shared" si="21"/>
        <v>0</v>
      </c>
    </row>
    <row r="1372" spans="1:9" x14ac:dyDescent="0.3">
      <c r="A1372">
        <v>9</v>
      </c>
      <c r="B1372">
        <v>11</v>
      </c>
      <c r="C1372" s="4">
        <v>51</v>
      </c>
      <c r="D1372" t="s">
        <v>10</v>
      </c>
      <c r="E1372" t="s">
        <v>17</v>
      </c>
      <c r="F1372">
        <v>2023</v>
      </c>
      <c r="G1372" s="4">
        <v>51</v>
      </c>
      <c r="H1372">
        <v>86</v>
      </c>
      <c r="I1372">
        <f t="shared" si="21"/>
        <v>0</v>
      </c>
    </row>
    <row r="1373" spans="1:9" x14ac:dyDescent="0.3">
      <c r="A1373">
        <v>10</v>
      </c>
      <c r="B1373">
        <v>11</v>
      </c>
      <c r="C1373" s="4">
        <v>47</v>
      </c>
      <c r="D1373" t="s">
        <v>10</v>
      </c>
      <c r="E1373" t="s">
        <v>17</v>
      </c>
      <c r="F1373">
        <v>2023</v>
      </c>
      <c r="G1373" s="4">
        <v>47</v>
      </c>
      <c r="H1373">
        <v>86</v>
      </c>
      <c r="I1373">
        <f t="shared" si="21"/>
        <v>0</v>
      </c>
    </row>
    <row r="1374" spans="1:9" x14ac:dyDescent="0.3">
      <c r="A1374">
        <v>11</v>
      </c>
      <c r="B1374">
        <v>11</v>
      </c>
      <c r="C1374" s="4">
        <v>47</v>
      </c>
      <c r="D1374" t="s">
        <v>10</v>
      </c>
      <c r="E1374" t="s">
        <v>17</v>
      </c>
      <c r="F1374">
        <v>2023</v>
      </c>
      <c r="G1374" s="4">
        <v>47</v>
      </c>
      <c r="H1374">
        <v>86</v>
      </c>
      <c r="I1374">
        <f t="shared" si="21"/>
        <v>0</v>
      </c>
    </row>
    <row r="1375" spans="1:9" x14ac:dyDescent="0.3">
      <c r="A1375">
        <v>12</v>
      </c>
      <c r="B1375">
        <v>11</v>
      </c>
      <c r="C1375" s="4">
        <v>45</v>
      </c>
      <c r="D1375" t="s">
        <v>11</v>
      </c>
      <c r="E1375" t="s">
        <v>17</v>
      </c>
      <c r="F1375">
        <v>2023</v>
      </c>
      <c r="G1375" s="4">
        <v>45</v>
      </c>
      <c r="H1375">
        <v>86</v>
      </c>
      <c r="I1375">
        <f t="shared" si="21"/>
        <v>0</v>
      </c>
    </row>
    <row r="1376" spans="1:9" x14ac:dyDescent="0.3">
      <c r="A1376">
        <v>13</v>
      </c>
      <c r="B1376">
        <v>11</v>
      </c>
      <c r="C1376" s="4">
        <v>45</v>
      </c>
      <c r="D1376" t="s">
        <v>11</v>
      </c>
      <c r="E1376" t="s">
        <v>17</v>
      </c>
      <c r="F1376">
        <v>2023</v>
      </c>
      <c r="G1376" s="4">
        <v>45</v>
      </c>
      <c r="H1376">
        <v>86</v>
      </c>
      <c r="I1376">
        <f t="shared" si="21"/>
        <v>0</v>
      </c>
    </row>
    <row r="1377" spans="1:9" x14ac:dyDescent="0.3">
      <c r="A1377">
        <v>14</v>
      </c>
      <c r="B1377">
        <v>11</v>
      </c>
      <c r="C1377" s="4">
        <v>45</v>
      </c>
      <c r="D1377" t="s">
        <v>11</v>
      </c>
      <c r="E1377" t="s">
        <v>17</v>
      </c>
      <c r="F1377">
        <v>2023</v>
      </c>
      <c r="G1377" s="4">
        <v>45</v>
      </c>
      <c r="H1377">
        <v>86</v>
      </c>
      <c r="I1377">
        <f t="shared" si="21"/>
        <v>0</v>
      </c>
    </row>
    <row r="1378" spans="1:9" x14ac:dyDescent="0.3">
      <c r="A1378">
        <v>15</v>
      </c>
      <c r="B1378">
        <v>11</v>
      </c>
      <c r="C1378" s="4">
        <v>45</v>
      </c>
      <c r="D1378" t="s">
        <v>11</v>
      </c>
      <c r="E1378" t="s">
        <v>17</v>
      </c>
      <c r="F1378">
        <v>2023</v>
      </c>
      <c r="G1378" s="4">
        <v>45</v>
      </c>
      <c r="H1378">
        <v>86</v>
      </c>
      <c r="I1378">
        <f t="shared" si="21"/>
        <v>0</v>
      </c>
    </row>
    <row r="1379" spans="1:9" x14ac:dyDescent="0.3">
      <c r="A1379">
        <v>16</v>
      </c>
      <c r="B1379">
        <v>11</v>
      </c>
      <c r="C1379" s="4">
        <v>44</v>
      </c>
      <c r="D1379" t="s">
        <v>11</v>
      </c>
      <c r="E1379" t="s">
        <v>17</v>
      </c>
      <c r="F1379">
        <v>2023</v>
      </c>
      <c r="G1379" s="4">
        <v>44</v>
      </c>
      <c r="H1379">
        <v>86</v>
      </c>
      <c r="I1379">
        <f t="shared" si="21"/>
        <v>0</v>
      </c>
    </row>
    <row r="1380" spans="1:9" x14ac:dyDescent="0.3">
      <c r="A1380">
        <v>17</v>
      </c>
      <c r="B1380">
        <v>11</v>
      </c>
      <c r="C1380" s="4">
        <v>44</v>
      </c>
      <c r="D1380" t="s">
        <v>11</v>
      </c>
      <c r="E1380" t="s">
        <v>17</v>
      </c>
      <c r="F1380">
        <v>2023</v>
      </c>
      <c r="G1380" s="4">
        <v>44</v>
      </c>
      <c r="H1380">
        <v>86</v>
      </c>
      <c r="I1380">
        <f t="shared" si="21"/>
        <v>0</v>
      </c>
    </row>
    <row r="1381" spans="1:9" x14ac:dyDescent="0.3">
      <c r="A1381">
        <v>18</v>
      </c>
      <c r="B1381">
        <v>11</v>
      </c>
      <c r="C1381" s="4">
        <v>42</v>
      </c>
      <c r="D1381" t="s">
        <v>11</v>
      </c>
      <c r="E1381" t="s">
        <v>17</v>
      </c>
      <c r="F1381">
        <v>2023</v>
      </c>
      <c r="G1381" s="4">
        <v>42</v>
      </c>
      <c r="H1381">
        <v>86</v>
      </c>
      <c r="I1381">
        <f t="shared" si="21"/>
        <v>0</v>
      </c>
    </row>
    <row r="1382" spans="1:9" x14ac:dyDescent="0.3">
      <c r="A1382">
        <v>19</v>
      </c>
      <c r="B1382">
        <v>11</v>
      </c>
      <c r="C1382" s="4">
        <v>42</v>
      </c>
      <c r="D1382" t="s">
        <v>11</v>
      </c>
      <c r="E1382" t="s">
        <v>17</v>
      </c>
      <c r="F1382">
        <v>2023</v>
      </c>
      <c r="G1382" s="4">
        <v>42</v>
      </c>
      <c r="H1382">
        <v>86</v>
      </c>
      <c r="I1382">
        <f t="shared" si="21"/>
        <v>0</v>
      </c>
    </row>
    <row r="1383" spans="1:9" x14ac:dyDescent="0.3">
      <c r="A1383">
        <v>20</v>
      </c>
      <c r="B1383">
        <v>11</v>
      </c>
      <c r="C1383" s="4">
        <v>41</v>
      </c>
      <c r="D1383" t="s">
        <v>11</v>
      </c>
      <c r="E1383" t="s">
        <v>17</v>
      </c>
      <c r="F1383">
        <v>2023</v>
      </c>
      <c r="G1383" s="4">
        <v>41</v>
      </c>
      <c r="H1383">
        <v>86</v>
      </c>
      <c r="I1383">
        <f t="shared" si="21"/>
        <v>0</v>
      </c>
    </row>
    <row r="1384" spans="1:9" x14ac:dyDescent="0.3">
      <c r="A1384">
        <v>21</v>
      </c>
      <c r="B1384">
        <v>11</v>
      </c>
      <c r="C1384" s="4">
        <v>40</v>
      </c>
      <c r="D1384" t="s">
        <v>11</v>
      </c>
      <c r="E1384" t="s">
        <v>17</v>
      </c>
      <c r="F1384">
        <v>2023</v>
      </c>
      <c r="G1384" s="4">
        <v>40</v>
      </c>
      <c r="H1384">
        <v>86</v>
      </c>
      <c r="I1384">
        <f t="shared" si="21"/>
        <v>0</v>
      </c>
    </row>
    <row r="1385" spans="1:9" x14ac:dyDescent="0.3">
      <c r="A1385">
        <v>22</v>
      </c>
      <c r="B1385">
        <v>11</v>
      </c>
      <c r="C1385" s="4">
        <v>40</v>
      </c>
      <c r="D1385" t="s">
        <v>11</v>
      </c>
      <c r="E1385" t="s">
        <v>17</v>
      </c>
      <c r="F1385">
        <v>2023</v>
      </c>
      <c r="G1385" s="4">
        <v>40</v>
      </c>
      <c r="H1385">
        <v>86</v>
      </c>
      <c r="I1385">
        <f t="shared" si="21"/>
        <v>0</v>
      </c>
    </row>
    <row r="1386" spans="1:9" x14ac:dyDescent="0.3">
      <c r="A1386">
        <v>23</v>
      </c>
      <c r="B1386">
        <v>11</v>
      </c>
      <c r="C1386" s="4">
        <v>39</v>
      </c>
      <c r="D1386" t="s">
        <v>11</v>
      </c>
      <c r="E1386" t="s">
        <v>17</v>
      </c>
      <c r="F1386">
        <v>2023</v>
      </c>
      <c r="G1386" s="4">
        <v>39</v>
      </c>
      <c r="H1386">
        <v>86</v>
      </c>
      <c r="I1386">
        <f t="shared" si="21"/>
        <v>0</v>
      </c>
    </row>
    <row r="1387" spans="1:9" x14ac:dyDescent="0.3">
      <c r="A1387">
        <v>24</v>
      </c>
      <c r="B1387">
        <v>11</v>
      </c>
      <c r="C1387" s="4">
        <v>38</v>
      </c>
      <c r="D1387" t="s">
        <v>11</v>
      </c>
      <c r="E1387" t="s">
        <v>17</v>
      </c>
      <c r="F1387">
        <v>2023</v>
      </c>
      <c r="G1387" s="4">
        <v>38</v>
      </c>
      <c r="H1387">
        <v>86</v>
      </c>
      <c r="I1387">
        <f t="shared" si="21"/>
        <v>0</v>
      </c>
    </row>
    <row r="1388" spans="1:9" x14ac:dyDescent="0.3">
      <c r="A1388">
        <v>25</v>
      </c>
      <c r="B1388">
        <v>11</v>
      </c>
      <c r="C1388" s="4">
        <v>38</v>
      </c>
      <c r="D1388" t="s">
        <v>11</v>
      </c>
      <c r="E1388" t="s">
        <v>17</v>
      </c>
      <c r="F1388">
        <v>2023</v>
      </c>
      <c r="G1388" s="4">
        <v>38</v>
      </c>
      <c r="H1388">
        <v>86</v>
      </c>
      <c r="I1388">
        <f t="shared" si="21"/>
        <v>0</v>
      </c>
    </row>
    <row r="1389" spans="1:9" x14ac:dyDescent="0.3">
      <c r="A1389">
        <v>26</v>
      </c>
      <c r="B1389">
        <v>11</v>
      </c>
      <c r="C1389" s="4">
        <v>38</v>
      </c>
      <c r="D1389" t="s">
        <v>11</v>
      </c>
      <c r="E1389" t="s">
        <v>17</v>
      </c>
      <c r="F1389">
        <v>2023</v>
      </c>
      <c r="G1389" s="4">
        <v>38</v>
      </c>
      <c r="H1389">
        <v>86</v>
      </c>
      <c r="I1389">
        <f t="shared" si="21"/>
        <v>0</v>
      </c>
    </row>
    <row r="1390" spans="1:9" x14ac:dyDescent="0.3">
      <c r="A1390">
        <v>27</v>
      </c>
      <c r="B1390">
        <v>11</v>
      </c>
      <c r="C1390" s="4">
        <v>37</v>
      </c>
      <c r="D1390" t="s">
        <v>11</v>
      </c>
      <c r="E1390" t="s">
        <v>17</v>
      </c>
      <c r="F1390">
        <v>2023</v>
      </c>
      <c r="G1390" s="4">
        <v>37</v>
      </c>
      <c r="H1390">
        <v>86</v>
      </c>
      <c r="I1390">
        <f t="shared" si="21"/>
        <v>0</v>
      </c>
    </row>
    <row r="1391" spans="1:9" x14ac:dyDescent="0.3">
      <c r="A1391">
        <v>28</v>
      </c>
      <c r="B1391">
        <v>11</v>
      </c>
      <c r="C1391" s="4">
        <v>36</v>
      </c>
      <c r="D1391" t="s">
        <v>11</v>
      </c>
      <c r="E1391" t="s">
        <v>17</v>
      </c>
      <c r="F1391">
        <v>2023</v>
      </c>
      <c r="G1391" s="4">
        <v>36</v>
      </c>
      <c r="H1391">
        <v>86</v>
      </c>
      <c r="I1391">
        <f t="shared" si="21"/>
        <v>0</v>
      </c>
    </row>
    <row r="1392" spans="1:9" x14ac:dyDescent="0.3">
      <c r="A1392">
        <v>29</v>
      </c>
      <c r="B1392">
        <v>11</v>
      </c>
      <c r="C1392" s="4">
        <v>34</v>
      </c>
      <c r="D1392" t="s">
        <v>11</v>
      </c>
      <c r="E1392" t="s">
        <v>17</v>
      </c>
      <c r="F1392">
        <v>2023</v>
      </c>
      <c r="G1392" s="4">
        <v>34</v>
      </c>
      <c r="H1392">
        <v>86</v>
      </c>
      <c r="I1392">
        <f t="shared" si="21"/>
        <v>0</v>
      </c>
    </row>
    <row r="1393" spans="1:9" x14ac:dyDescent="0.3">
      <c r="A1393">
        <v>30</v>
      </c>
      <c r="B1393">
        <v>11</v>
      </c>
      <c r="C1393" s="4">
        <v>34</v>
      </c>
      <c r="D1393" t="s">
        <v>11</v>
      </c>
      <c r="E1393" t="s">
        <v>17</v>
      </c>
      <c r="F1393">
        <v>2023</v>
      </c>
      <c r="G1393" s="4">
        <v>34</v>
      </c>
      <c r="H1393">
        <v>86</v>
      </c>
      <c r="I1393">
        <f t="shared" si="21"/>
        <v>0</v>
      </c>
    </row>
    <row r="1394" spans="1:9" x14ac:dyDescent="0.3">
      <c r="A1394">
        <v>31</v>
      </c>
      <c r="B1394">
        <v>11</v>
      </c>
      <c r="C1394" s="4">
        <v>31</v>
      </c>
      <c r="D1394" t="s">
        <v>11</v>
      </c>
      <c r="E1394" t="s">
        <v>17</v>
      </c>
      <c r="F1394">
        <v>2023</v>
      </c>
      <c r="G1394" s="4">
        <v>31</v>
      </c>
      <c r="H1394">
        <v>86</v>
      </c>
      <c r="I1394">
        <f t="shared" si="21"/>
        <v>0</v>
      </c>
    </row>
    <row r="1395" spans="1:9" x14ac:dyDescent="0.3">
      <c r="A1395">
        <v>32</v>
      </c>
      <c r="B1395">
        <v>11</v>
      </c>
      <c r="C1395" s="4">
        <v>30</v>
      </c>
      <c r="D1395" t="s">
        <v>11</v>
      </c>
      <c r="E1395" t="s">
        <v>17</v>
      </c>
      <c r="F1395">
        <v>2023</v>
      </c>
      <c r="G1395" s="4">
        <v>30</v>
      </c>
      <c r="H1395">
        <v>86</v>
      </c>
      <c r="I1395">
        <f t="shared" si="21"/>
        <v>0</v>
      </c>
    </row>
    <row r="1396" spans="1:9" x14ac:dyDescent="0.3">
      <c r="A1396">
        <v>33</v>
      </c>
      <c r="B1396">
        <v>11</v>
      </c>
      <c r="C1396" s="4">
        <v>27</v>
      </c>
      <c r="D1396" t="s">
        <v>11</v>
      </c>
      <c r="E1396" t="s">
        <v>17</v>
      </c>
      <c r="F1396">
        <v>2023</v>
      </c>
      <c r="G1396" s="4">
        <v>27</v>
      </c>
      <c r="H1396">
        <v>86</v>
      </c>
      <c r="I1396">
        <f t="shared" si="21"/>
        <v>0</v>
      </c>
    </row>
    <row r="1397" spans="1:9" x14ac:dyDescent="0.3">
      <c r="A1397">
        <v>34</v>
      </c>
      <c r="B1397">
        <v>11</v>
      </c>
      <c r="C1397" s="4">
        <v>25</v>
      </c>
      <c r="D1397" t="s">
        <v>11</v>
      </c>
      <c r="E1397" t="s">
        <v>17</v>
      </c>
      <c r="F1397">
        <v>2023</v>
      </c>
      <c r="G1397" s="4">
        <v>25</v>
      </c>
      <c r="H1397">
        <v>86</v>
      </c>
      <c r="I1397">
        <f t="shared" si="21"/>
        <v>0</v>
      </c>
    </row>
    <row r="1398" spans="1:9" x14ac:dyDescent="0.3">
      <c r="A1398">
        <v>35</v>
      </c>
      <c r="B1398">
        <v>11</v>
      </c>
      <c r="C1398" s="4">
        <v>23</v>
      </c>
      <c r="D1398" t="s">
        <v>11</v>
      </c>
      <c r="E1398" t="s">
        <v>17</v>
      </c>
      <c r="F1398">
        <v>2023</v>
      </c>
      <c r="G1398" s="4">
        <v>23</v>
      </c>
      <c r="H1398">
        <v>86</v>
      </c>
      <c r="I1398">
        <f t="shared" si="21"/>
        <v>0</v>
      </c>
    </row>
    <row r="1399" spans="1:9" x14ac:dyDescent="0.3">
      <c r="A1399">
        <v>36</v>
      </c>
      <c r="B1399">
        <v>11</v>
      </c>
      <c r="C1399" s="4">
        <v>17</v>
      </c>
      <c r="D1399" t="s">
        <v>11</v>
      </c>
      <c r="E1399" t="s">
        <v>17</v>
      </c>
      <c r="F1399">
        <v>2023</v>
      </c>
      <c r="G1399" s="4">
        <v>17</v>
      </c>
      <c r="H1399">
        <v>86</v>
      </c>
      <c r="I1399">
        <f t="shared" si="21"/>
        <v>0</v>
      </c>
    </row>
    <row r="1400" spans="1:9" x14ac:dyDescent="0.3">
      <c r="A1400">
        <v>1</v>
      </c>
      <c r="B1400">
        <v>9</v>
      </c>
      <c r="C1400" s="4">
        <v>62.06</v>
      </c>
      <c r="D1400" t="s">
        <v>8</v>
      </c>
      <c r="E1400" t="s">
        <v>17</v>
      </c>
      <c r="F1400">
        <v>2024</v>
      </c>
      <c r="G1400" s="4">
        <v>62.06</v>
      </c>
      <c r="H1400">
        <v>78</v>
      </c>
      <c r="I1400">
        <f t="shared" si="21"/>
        <v>0</v>
      </c>
    </row>
    <row r="1401" spans="1:9" x14ac:dyDescent="0.3">
      <c r="A1401">
        <v>2</v>
      </c>
      <c r="B1401">
        <v>9</v>
      </c>
      <c r="C1401" s="4">
        <v>61.61</v>
      </c>
      <c r="D1401" t="s">
        <v>8</v>
      </c>
      <c r="E1401" t="s">
        <v>17</v>
      </c>
      <c r="F1401">
        <v>2024</v>
      </c>
      <c r="G1401" s="4">
        <v>61.61</v>
      </c>
      <c r="H1401">
        <v>78</v>
      </c>
      <c r="I1401">
        <f t="shared" si="21"/>
        <v>0</v>
      </c>
    </row>
    <row r="1402" spans="1:9" x14ac:dyDescent="0.3">
      <c r="A1402">
        <v>3</v>
      </c>
      <c r="B1402">
        <v>9</v>
      </c>
      <c r="C1402" s="4">
        <v>59.29</v>
      </c>
      <c r="D1402" t="s">
        <v>12</v>
      </c>
      <c r="E1402" t="s">
        <v>17</v>
      </c>
      <c r="F1402">
        <v>2024</v>
      </c>
      <c r="G1402" s="4">
        <v>59.29</v>
      </c>
      <c r="H1402">
        <v>78</v>
      </c>
      <c r="I1402">
        <f t="shared" si="21"/>
        <v>0</v>
      </c>
    </row>
    <row r="1403" spans="1:9" x14ac:dyDescent="0.3">
      <c r="A1403">
        <v>4</v>
      </c>
      <c r="B1403">
        <v>9</v>
      </c>
      <c r="C1403" s="4">
        <v>58.85</v>
      </c>
      <c r="D1403" t="s">
        <v>12</v>
      </c>
      <c r="E1403" t="s">
        <v>17</v>
      </c>
      <c r="F1403">
        <v>2024</v>
      </c>
      <c r="G1403" s="4">
        <v>58.85</v>
      </c>
      <c r="H1403">
        <v>78</v>
      </c>
      <c r="I1403">
        <f t="shared" si="21"/>
        <v>0</v>
      </c>
    </row>
    <row r="1404" spans="1:9" x14ac:dyDescent="0.3">
      <c r="A1404">
        <v>5</v>
      </c>
      <c r="B1404">
        <v>9</v>
      </c>
      <c r="C1404" s="4">
        <v>49.53</v>
      </c>
      <c r="D1404" t="s">
        <v>12</v>
      </c>
      <c r="E1404" t="s">
        <v>17</v>
      </c>
      <c r="F1404">
        <v>2024</v>
      </c>
      <c r="G1404" s="4">
        <v>49.53</v>
      </c>
      <c r="H1404">
        <v>78</v>
      </c>
      <c r="I1404">
        <f t="shared" si="21"/>
        <v>0</v>
      </c>
    </row>
    <row r="1405" spans="1:9" x14ac:dyDescent="0.3">
      <c r="A1405">
        <v>6</v>
      </c>
      <c r="B1405">
        <v>9</v>
      </c>
      <c r="C1405" s="4">
        <v>48.84</v>
      </c>
      <c r="D1405" t="s">
        <v>12</v>
      </c>
      <c r="E1405" t="s">
        <v>17</v>
      </c>
      <c r="F1405">
        <v>2024</v>
      </c>
      <c r="G1405" s="4">
        <v>48.84</v>
      </c>
      <c r="H1405">
        <v>78</v>
      </c>
      <c r="I1405">
        <f t="shared" si="21"/>
        <v>0</v>
      </c>
    </row>
    <row r="1406" spans="1:9" x14ac:dyDescent="0.3">
      <c r="A1406">
        <v>7</v>
      </c>
      <c r="B1406">
        <v>9</v>
      </c>
      <c r="C1406" s="4">
        <v>47.28</v>
      </c>
      <c r="D1406" t="s">
        <v>12</v>
      </c>
      <c r="E1406" t="s">
        <v>17</v>
      </c>
      <c r="F1406">
        <v>2024</v>
      </c>
      <c r="G1406" s="4">
        <v>47.28</v>
      </c>
      <c r="H1406">
        <v>78</v>
      </c>
      <c r="I1406">
        <f t="shared" si="21"/>
        <v>0</v>
      </c>
    </row>
    <row r="1407" spans="1:9" x14ac:dyDescent="0.3">
      <c r="A1407">
        <v>8</v>
      </c>
      <c r="B1407">
        <v>9</v>
      </c>
      <c r="C1407" s="4">
        <v>47.28</v>
      </c>
      <c r="D1407" t="s">
        <v>12</v>
      </c>
      <c r="E1407" t="s">
        <v>17</v>
      </c>
      <c r="F1407">
        <v>2024</v>
      </c>
      <c r="G1407" s="4">
        <v>47.28</v>
      </c>
      <c r="H1407">
        <v>78</v>
      </c>
      <c r="I1407">
        <f t="shared" si="21"/>
        <v>0</v>
      </c>
    </row>
    <row r="1408" spans="1:9" x14ac:dyDescent="0.3">
      <c r="A1408">
        <v>9</v>
      </c>
      <c r="B1408">
        <v>9</v>
      </c>
      <c r="C1408" s="4">
        <v>46.27</v>
      </c>
      <c r="D1408" t="s">
        <v>11</v>
      </c>
      <c r="E1408" t="s">
        <v>17</v>
      </c>
      <c r="F1408">
        <v>2024</v>
      </c>
      <c r="G1408" s="4">
        <v>46.27</v>
      </c>
      <c r="H1408">
        <v>78</v>
      </c>
      <c r="I1408">
        <f t="shared" si="21"/>
        <v>0</v>
      </c>
    </row>
    <row r="1409" spans="1:9" x14ac:dyDescent="0.3">
      <c r="A1409">
        <v>10</v>
      </c>
      <c r="B1409">
        <v>9</v>
      </c>
      <c r="C1409" s="4">
        <v>45.02</v>
      </c>
      <c r="D1409" t="s">
        <v>11</v>
      </c>
      <c r="E1409" t="s">
        <v>17</v>
      </c>
      <c r="F1409">
        <v>2024</v>
      </c>
      <c r="G1409" s="4">
        <v>45.02</v>
      </c>
      <c r="H1409">
        <v>78</v>
      </c>
      <c r="I1409">
        <f t="shared" si="21"/>
        <v>0</v>
      </c>
    </row>
    <row r="1410" spans="1:9" x14ac:dyDescent="0.3">
      <c r="A1410">
        <v>11</v>
      </c>
      <c r="B1410">
        <v>9</v>
      </c>
      <c r="C1410" s="4">
        <v>42.33</v>
      </c>
      <c r="D1410" t="s">
        <v>11</v>
      </c>
      <c r="E1410" t="s">
        <v>17</v>
      </c>
      <c r="F1410">
        <v>2024</v>
      </c>
      <c r="G1410" s="4">
        <v>42.33</v>
      </c>
      <c r="H1410">
        <v>78</v>
      </c>
      <c r="I1410">
        <f t="shared" si="21"/>
        <v>0</v>
      </c>
    </row>
    <row r="1411" spans="1:9" x14ac:dyDescent="0.3">
      <c r="A1411">
        <v>12</v>
      </c>
      <c r="B1411">
        <v>9</v>
      </c>
      <c r="C1411" s="4">
        <v>42.2</v>
      </c>
      <c r="D1411" t="s">
        <v>11</v>
      </c>
      <c r="E1411" t="s">
        <v>17</v>
      </c>
      <c r="F1411">
        <v>2024</v>
      </c>
      <c r="G1411" s="4">
        <v>42.2</v>
      </c>
      <c r="H1411">
        <v>78</v>
      </c>
      <c r="I1411">
        <f t="shared" ref="I1411:I1474" si="22">IF(C1411&gt;=H1411,1,0)</f>
        <v>0</v>
      </c>
    </row>
    <row r="1412" spans="1:9" x14ac:dyDescent="0.3">
      <c r="A1412">
        <v>13</v>
      </c>
      <c r="B1412">
        <v>9</v>
      </c>
      <c r="C1412" s="4">
        <v>40.07</v>
      </c>
      <c r="D1412" t="s">
        <v>11</v>
      </c>
      <c r="E1412" t="s">
        <v>17</v>
      </c>
      <c r="F1412">
        <v>2024</v>
      </c>
      <c r="G1412" s="4">
        <v>40.07</v>
      </c>
      <c r="H1412">
        <v>78</v>
      </c>
      <c r="I1412">
        <f t="shared" si="22"/>
        <v>0</v>
      </c>
    </row>
    <row r="1413" spans="1:9" x14ac:dyDescent="0.3">
      <c r="A1413">
        <v>14</v>
      </c>
      <c r="B1413">
        <v>9</v>
      </c>
      <c r="C1413" s="4">
        <v>38.07</v>
      </c>
      <c r="D1413" t="s">
        <v>11</v>
      </c>
      <c r="E1413" t="s">
        <v>17</v>
      </c>
      <c r="F1413">
        <v>2024</v>
      </c>
      <c r="G1413" s="4">
        <v>38.07</v>
      </c>
      <c r="H1413">
        <v>78</v>
      </c>
      <c r="I1413">
        <f t="shared" si="22"/>
        <v>0</v>
      </c>
    </row>
    <row r="1414" spans="1:9" x14ac:dyDescent="0.3">
      <c r="A1414">
        <v>15</v>
      </c>
      <c r="B1414">
        <v>9</v>
      </c>
      <c r="C1414" s="4">
        <v>34.06</v>
      </c>
      <c r="D1414" t="s">
        <v>11</v>
      </c>
      <c r="E1414" t="s">
        <v>17</v>
      </c>
      <c r="F1414">
        <v>2024</v>
      </c>
      <c r="G1414" s="4">
        <v>34.06</v>
      </c>
      <c r="H1414">
        <v>78</v>
      </c>
      <c r="I1414">
        <f t="shared" si="22"/>
        <v>0</v>
      </c>
    </row>
    <row r="1415" spans="1:9" x14ac:dyDescent="0.3">
      <c r="A1415">
        <v>16</v>
      </c>
      <c r="B1415">
        <v>9</v>
      </c>
      <c r="C1415" s="4">
        <v>33.82</v>
      </c>
      <c r="D1415" t="s">
        <v>11</v>
      </c>
      <c r="E1415" t="s">
        <v>17</v>
      </c>
      <c r="F1415">
        <v>2024</v>
      </c>
      <c r="G1415" s="4">
        <v>33.82</v>
      </c>
      <c r="H1415">
        <v>78</v>
      </c>
      <c r="I1415">
        <f t="shared" si="22"/>
        <v>0</v>
      </c>
    </row>
    <row r="1416" spans="1:9" x14ac:dyDescent="0.3">
      <c r="A1416">
        <v>17</v>
      </c>
      <c r="B1416">
        <v>9</v>
      </c>
      <c r="C1416" s="4">
        <v>32.31</v>
      </c>
      <c r="D1416" t="s">
        <v>11</v>
      </c>
      <c r="E1416" t="s">
        <v>17</v>
      </c>
      <c r="F1416">
        <v>2024</v>
      </c>
      <c r="G1416" s="4">
        <v>32.31</v>
      </c>
      <c r="H1416">
        <v>78</v>
      </c>
      <c r="I1416">
        <f t="shared" si="22"/>
        <v>0</v>
      </c>
    </row>
    <row r="1417" spans="1:9" x14ac:dyDescent="0.3">
      <c r="A1417">
        <v>18</v>
      </c>
      <c r="B1417">
        <v>9</v>
      </c>
      <c r="C1417" s="4">
        <v>23.8</v>
      </c>
      <c r="D1417" t="s">
        <v>11</v>
      </c>
      <c r="E1417" t="s">
        <v>17</v>
      </c>
      <c r="F1417">
        <v>2024</v>
      </c>
      <c r="G1417" s="4">
        <v>23.8</v>
      </c>
      <c r="H1417">
        <v>78</v>
      </c>
      <c r="I1417">
        <f t="shared" si="22"/>
        <v>0</v>
      </c>
    </row>
    <row r="1418" spans="1:9" x14ac:dyDescent="0.3">
      <c r="A1418">
        <v>19</v>
      </c>
      <c r="B1418">
        <v>9</v>
      </c>
      <c r="C1418" s="4">
        <v>16.03</v>
      </c>
      <c r="D1418" t="s">
        <v>11</v>
      </c>
      <c r="E1418" t="s">
        <v>17</v>
      </c>
      <c r="F1418">
        <v>2024</v>
      </c>
      <c r="G1418" s="4">
        <v>16.03</v>
      </c>
      <c r="H1418">
        <v>78</v>
      </c>
      <c r="I1418">
        <f t="shared" si="22"/>
        <v>0</v>
      </c>
    </row>
    <row r="1419" spans="1:9" x14ac:dyDescent="0.3">
      <c r="A1419">
        <v>20</v>
      </c>
      <c r="B1419">
        <v>9</v>
      </c>
      <c r="C1419" s="4">
        <v>12.34</v>
      </c>
      <c r="D1419" t="s">
        <v>11</v>
      </c>
      <c r="E1419" t="s">
        <v>17</v>
      </c>
      <c r="F1419">
        <v>2024</v>
      </c>
      <c r="G1419" s="4">
        <v>12.34</v>
      </c>
      <c r="H1419">
        <v>78</v>
      </c>
      <c r="I1419">
        <f t="shared" si="22"/>
        <v>0</v>
      </c>
    </row>
    <row r="1420" spans="1:9" x14ac:dyDescent="0.3">
      <c r="A1420">
        <v>21</v>
      </c>
      <c r="B1420">
        <v>9</v>
      </c>
      <c r="C1420" s="4">
        <v>7.45</v>
      </c>
      <c r="D1420" t="s">
        <v>11</v>
      </c>
      <c r="E1420" t="s">
        <v>17</v>
      </c>
      <c r="F1420">
        <v>2024</v>
      </c>
      <c r="G1420" s="4">
        <v>7.4499999999999993</v>
      </c>
      <c r="H1420">
        <v>78</v>
      </c>
      <c r="I1420">
        <f t="shared" si="22"/>
        <v>0</v>
      </c>
    </row>
    <row r="1421" spans="1:9" x14ac:dyDescent="0.3">
      <c r="A1421">
        <v>22</v>
      </c>
      <c r="B1421">
        <v>9</v>
      </c>
      <c r="C1421" s="4">
        <v>5.32</v>
      </c>
      <c r="D1421" t="s">
        <v>11</v>
      </c>
      <c r="E1421" t="s">
        <v>17</v>
      </c>
      <c r="F1421">
        <v>2024</v>
      </c>
      <c r="G1421" s="4">
        <v>5.32</v>
      </c>
      <c r="H1421">
        <v>78</v>
      </c>
      <c r="I1421">
        <f t="shared" si="22"/>
        <v>0</v>
      </c>
    </row>
    <row r="1422" spans="1:9" x14ac:dyDescent="0.3">
      <c r="A1422">
        <v>1</v>
      </c>
      <c r="B1422">
        <v>10</v>
      </c>
      <c r="C1422" s="4">
        <v>68.319999999999993</v>
      </c>
      <c r="D1422" t="s">
        <v>8</v>
      </c>
      <c r="E1422" t="s">
        <v>17</v>
      </c>
      <c r="F1422">
        <v>2024</v>
      </c>
      <c r="G1422" s="4">
        <v>68.319999999999993</v>
      </c>
      <c r="H1422">
        <v>84.12</v>
      </c>
      <c r="I1422">
        <f t="shared" si="22"/>
        <v>0</v>
      </c>
    </row>
    <row r="1423" spans="1:9" x14ac:dyDescent="0.3">
      <c r="A1423">
        <v>2</v>
      </c>
      <c r="B1423">
        <v>10</v>
      </c>
      <c r="C1423" s="4">
        <v>65.319999999999993</v>
      </c>
      <c r="D1423" t="s">
        <v>12</v>
      </c>
      <c r="E1423" t="s">
        <v>17</v>
      </c>
      <c r="F1423">
        <v>2024</v>
      </c>
      <c r="G1423" s="4">
        <v>65.319999999999993</v>
      </c>
      <c r="H1423">
        <v>84.12</v>
      </c>
      <c r="I1423">
        <f t="shared" si="22"/>
        <v>0</v>
      </c>
    </row>
    <row r="1424" spans="1:9" x14ac:dyDescent="0.3">
      <c r="A1424">
        <v>3</v>
      </c>
      <c r="B1424">
        <v>10</v>
      </c>
      <c r="C1424" s="4">
        <v>61.19</v>
      </c>
      <c r="D1424" t="s">
        <v>12</v>
      </c>
      <c r="E1424" t="s">
        <v>17</v>
      </c>
      <c r="F1424">
        <v>2024</v>
      </c>
      <c r="G1424" s="4">
        <v>61.19</v>
      </c>
      <c r="H1424">
        <v>84.12</v>
      </c>
      <c r="I1424">
        <f t="shared" si="22"/>
        <v>0</v>
      </c>
    </row>
    <row r="1425" spans="1:9" x14ac:dyDescent="0.3">
      <c r="A1425">
        <v>4</v>
      </c>
      <c r="B1425">
        <v>10</v>
      </c>
      <c r="C1425" s="4">
        <v>59.32</v>
      </c>
      <c r="D1425" t="s">
        <v>12</v>
      </c>
      <c r="E1425" t="s">
        <v>17</v>
      </c>
      <c r="F1425">
        <v>2024</v>
      </c>
      <c r="G1425" s="4">
        <v>59.319999999999993</v>
      </c>
      <c r="H1425">
        <v>84.12</v>
      </c>
      <c r="I1425">
        <f t="shared" si="22"/>
        <v>0</v>
      </c>
    </row>
    <row r="1426" spans="1:9" x14ac:dyDescent="0.3">
      <c r="A1426">
        <v>5</v>
      </c>
      <c r="B1426">
        <v>10</v>
      </c>
      <c r="C1426" s="4">
        <v>58.95</v>
      </c>
      <c r="D1426" t="s">
        <v>12</v>
      </c>
      <c r="E1426" t="s">
        <v>17</v>
      </c>
      <c r="F1426">
        <v>2024</v>
      </c>
      <c r="G1426" s="4">
        <v>58.95</v>
      </c>
      <c r="H1426">
        <v>84.12</v>
      </c>
      <c r="I1426">
        <f t="shared" si="22"/>
        <v>0</v>
      </c>
    </row>
    <row r="1427" spans="1:9" x14ac:dyDescent="0.3">
      <c r="A1427">
        <v>6</v>
      </c>
      <c r="B1427">
        <v>10</v>
      </c>
      <c r="C1427" s="4">
        <v>53.93</v>
      </c>
      <c r="D1427" t="s">
        <v>12</v>
      </c>
      <c r="E1427" t="s">
        <v>17</v>
      </c>
      <c r="F1427">
        <v>2024</v>
      </c>
      <c r="G1427" s="4">
        <v>53.93</v>
      </c>
      <c r="H1427">
        <v>84.12</v>
      </c>
      <c r="I1427">
        <f t="shared" si="22"/>
        <v>0</v>
      </c>
    </row>
    <row r="1428" spans="1:9" x14ac:dyDescent="0.3">
      <c r="A1428">
        <v>7</v>
      </c>
      <c r="B1428">
        <v>10</v>
      </c>
      <c r="C1428" s="4">
        <v>53.54</v>
      </c>
      <c r="D1428" t="s">
        <v>12</v>
      </c>
      <c r="E1428" t="s">
        <v>17</v>
      </c>
      <c r="F1428">
        <v>2024</v>
      </c>
      <c r="G1428" s="4">
        <v>53.54</v>
      </c>
      <c r="H1428">
        <v>84.12</v>
      </c>
      <c r="I1428">
        <f t="shared" si="22"/>
        <v>0</v>
      </c>
    </row>
    <row r="1429" spans="1:9" x14ac:dyDescent="0.3">
      <c r="A1429">
        <v>8</v>
      </c>
      <c r="B1429">
        <v>10</v>
      </c>
      <c r="C1429" s="4">
        <v>52.68</v>
      </c>
      <c r="D1429" t="s">
        <v>12</v>
      </c>
      <c r="E1429" t="s">
        <v>17</v>
      </c>
      <c r="F1429">
        <v>2024</v>
      </c>
      <c r="G1429" s="4">
        <v>52.680000000000007</v>
      </c>
      <c r="H1429">
        <v>84.12</v>
      </c>
      <c r="I1429">
        <f t="shared" si="22"/>
        <v>0</v>
      </c>
    </row>
    <row r="1430" spans="1:9" x14ac:dyDescent="0.3">
      <c r="A1430">
        <v>9</v>
      </c>
      <c r="B1430">
        <v>10</v>
      </c>
      <c r="C1430" s="4">
        <v>51.05</v>
      </c>
      <c r="D1430" t="s">
        <v>12</v>
      </c>
      <c r="E1430" t="s">
        <v>17</v>
      </c>
      <c r="F1430">
        <v>2024</v>
      </c>
      <c r="G1430" s="4">
        <v>51.05</v>
      </c>
      <c r="H1430">
        <v>84.12</v>
      </c>
      <c r="I1430">
        <f t="shared" si="22"/>
        <v>0</v>
      </c>
    </row>
    <row r="1431" spans="1:9" x14ac:dyDescent="0.3">
      <c r="A1431">
        <v>10</v>
      </c>
      <c r="B1431">
        <v>10</v>
      </c>
      <c r="C1431" s="4">
        <v>49.04</v>
      </c>
      <c r="D1431" t="s">
        <v>12</v>
      </c>
      <c r="E1431" t="s">
        <v>17</v>
      </c>
      <c r="F1431">
        <v>2024</v>
      </c>
      <c r="G1431" s="4">
        <v>49.04</v>
      </c>
      <c r="H1431">
        <v>84.12</v>
      </c>
      <c r="I1431">
        <f t="shared" si="22"/>
        <v>0</v>
      </c>
    </row>
    <row r="1432" spans="1:9" x14ac:dyDescent="0.3">
      <c r="A1432">
        <v>11</v>
      </c>
      <c r="B1432">
        <v>10</v>
      </c>
      <c r="C1432" s="4">
        <v>48.54</v>
      </c>
      <c r="D1432" t="s">
        <v>12</v>
      </c>
      <c r="E1432" t="s">
        <v>17</v>
      </c>
      <c r="F1432">
        <v>2024</v>
      </c>
      <c r="G1432" s="4">
        <v>48.54</v>
      </c>
      <c r="H1432">
        <v>84.12</v>
      </c>
      <c r="I1432">
        <f t="shared" si="22"/>
        <v>0</v>
      </c>
    </row>
    <row r="1433" spans="1:9" x14ac:dyDescent="0.3">
      <c r="A1433">
        <v>12</v>
      </c>
      <c r="B1433">
        <v>10</v>
      </c>
      <c r="C1433" s="4">
        <v>47.93</v>
      </c>
      <c r="D1433" t="s">
        <v>11</v>
      </c>
      <c r="E1433" t="s">
        <v>17</v>
      </c>
      <c r="F1433">
        <v>2024</v>
      </c>
      <c r="G1433" s="4">
        <v>47.93</v>
      </c>
      <c r="H1433">
        <v>84.12</v>
      </c>
      <c r="I1433">
        <f t="shared" si="22"/>
        <v>0</v>
      </c>
    </row>
    <row r="1434" spans="1:9" x14ac:dyDescent="0.3">
      <c r="A1434">
        <v>13</v>
      </c>
      <c r="B1434">
        <v>10</v>
      </c>
      <c r="C1434" s="4">
        <v>46.68</v>
      </c>
      <c r="D1434" t="s">
        <v>11</v>
      </c>
      <c r="E1434" t="s">
        <v>17</v>
      </c>
      <c r="F1434">
        <v>2024</v>
      </c>
      <c r="G1434" s="4">
        <v>46.68</v>
      </c>
      <c r="H1434">
        <v>84.12</v>
      </c>
      <c r="I1434">
        <f t="shared" si="22"/>
        <v>0</v>
      </c>
    </row>
    <row r="1435" spans="1:9" x14ac:dyDescent="0.3">
      <c r="A1435">
        <v>14</v>
      </c>
      <c r="B1435">
        <v>10</v>
      </c>
      <c r="C1435" s="4">
        <v>46.04</v>
      </c>
      <c r="D1435" t="s">
        <v>11</v>
      </c>
      <c r="E1435" t="s">
        <v>17</v>
      </c>
      <c r="F1435">
        <v>2024</v>
      </c>
      <c r="G1435" s="4">
        <v>46.04</v>
      </c>
      <c r="H1435">
        <v>84.12</v>
      </c>
      <c r="I1435">
        <f t="shared" si="22"/>
        <v>0</v>
      </c>
    </row>
    <row r="1436" spans="1:9" x14ac:dyDescent="0.3">
      <c r="A1436">
        <v>15</v>
      </c>
      <c r="B1436">
        <v>10</v>
      </c>
      <c r="C1436" s="4">
        <v>45.16</v>
      </c>
      <c r="D1436" t="s">
        <v>11</v>
      </c>
      <c r="E1436" t="s">
        <v>17</v>
      </c>
      <c r="F1436">
        <v>2024</v>
      </c>
      <c r="G1436" s="4">
        <v>45.16</v>
      </c>
      <c r="H1436">
        <v>84.12</v>
      </c>
      <c r="I1436">
        <f t="shared" si="22"/>
        <v>0</v>
      </c>
    </row>
    <row r="1437" spans="1:9" x14ac:dyDescent="0.3">
      <c r="A1437">
        <v>16</v>
      </c>
      <c r="B1437">
        <v>10</v>
      </c>
      <c r="C1437" s="4">
        <v>44.05</v>
      </c>
      <c r="D1437" t="s">
        <v>11</v>
      </c>
      <c r="E1437" t="s">
        <v>17</v>
      </c>
      <c r="F1437">
        <v>2024</v>
      </c>
      <c r="G1437" s="4">
        <v>44.05</v>
      </c>
      <c r="H1437">
        <v>84.12</v>
      </c>
      <c r="I1437">
        <f t="shared" si="22"/>
        <v>0</v>
      </c>
    </row>
    <row r="1438" spans="1:9" x14ac:dyDescent="0.3">
      <c r="A1438">
        <v>17</v>
      </c>
      <c r="B1438">
        <v>10</v>
      </c>
      <c r="C1438" s="4">
        <v>42.16</v>
      </c>
      <c r="D1438" t="s">
        <v>11</v>
      </c>
      <c r="E1438" t="s">
        <v>17</v>
      </c>
      <c r="F1438">
        <v>2024</v>
      </c>
      <c r="G1438" s="4">
        <v>42.16</v>
      </c>
      <c r="H1438">
        <v>84.12</v>
      </c>
      <c r="I1438">
        <f t="shared" si="22"/>
        <v>0</v>
      </c>
    </row>
    <row r="1439" spans="1:9" x14ac:dyDescent="0.3">
      <c r="A1439">
        <v>18</v>
      </c>
      <c r="B1439">
        <v>10</v>
      </c>
      <c r="C1439" s="4">
        <v>39.53</v>
      </c>
      <c r="D1439" t="s">
        <v>11</v>
      </c>
      <c r="E1439" t="s">
        <v>17</v>
      </c>
      <c r="F1439">
        <v>2024</v>
      </c>
      <c r="G1439" s="4">
        <v>39.53</v>
      </c>
      <c r="H1439">
        <v>84.12</v>
      </c>
      <c r="I1439">
        <f t="shared" si="22"/>
        <v>0</v>
      </c>
    </row>
    <row r="1440" spans="1:9" x14ac:dyDescent="0.3">
      <c r="A1440">
        <v>19</v>
      </c>
      <c r="B1440">
        <v>10</v>
      </c>
      <c r="C1440" s="4">
        <v>39.4</v>
      </c>
      <c r="D1440" t="s">
        <v>11</v>
      </c>
      <c r="E1440" t="s">
        <v>17</v>
      </c>
      <c r="F1440">
        <v>2024</v>
      </c>
      <c r="G1440" s="4">
        <v>39.4</v>
      </c>
      <c r="H1440">
        <v>84.12</v>
      </c>
      <c r="I1440">
        <f t="shared" si="22"/>
        <v>0</v>
      </c>
    </row>
    <row r="1441" spans="1:9" x14ac:dyDescent="0.3">
      <c r="A1441">
        <v>20</v>
      </c>
      <c r="B1441">
        <v>10</v>
      </c>
      <c r="C1441" s="4">
        <v>37.909999999999997</v>
      </c>
      <c r="D1441" t="s">
        <v>11</v>
      </c>
      <c r="E1441" t="s">
        <v>17</v>
      </c>
      <c r="F1441">
        <v>2024</v>
      </c>
      <c r="G1441" s="4">
        <v>37.909999999999997</v>
      </c>
      <c r="H1441">
        <v>84.12</v>
      </c>
      <c r="I1441">
        <f t="shared" si="22"/>
        <v>0</v>
      </c>
    </row>
    <row r="1442" spans="1:9" x14ac:dyDescent="0.3">
      <c r="A1442">
        <v>21</v>
      </c>
      <c r="B1442">
        <v>10</v>
      </c>
      <c r="C1442" s="4">
        <v>35.770000000000003</v>
      </c>
      <c r="D1442" t="s">
        <v>11</v>
      </c>
      <c r="E1442" t="s">
        <v>17</v>
      </c>
      <c r="F1442">
        <v>2024</v>
      </c>
      <c r="G1442" s="4">
        <v>35.770000000000003</v>
      </c>
      <c r="H1442">
        <v>84.12</v>
      </c>
      <c r="I1442">
        <f t="shared" si="22"/>
        <v>0</v>
      </c>
    </row>
    <row r="1443" spans="1:9" x14ac:dyDescent="0.3">
      <c r="A1443">
        <v>22</v>
      </c>
      <c r="B1443">
        <v>10</v>
      </c>
      <c r="C1443" s="4">
        <v>33.04</v>
      </c>
      <c r="D1443" t="s">
        <v>11</v>
      </c>
      <c r="E1443" t="s">
        <v>17</v>
      </c>
      <c r="F1443">
        <v>2024</v>
      </c>
      <c r="G1443" s="4">
        <v>33.04</v>
      </c>
      <c r="H1443">
        <v>84.12</v>
      </c>
      <c r="I1443">
        <f t="shared" si="22"/>
        <v>0</v>
      </c>
    </row>
    <row r="1444" spans="1:9" x14ac:dyDescent="0.3">
      <c r="A1444">
        <v>23</v>
      </c>
      <c r="B1444">
        <v>10</v>
      </c>
      <c r="C1444" s="4">
        <v>28.26</v>
      </c>
      <c r="D1444" t="s">
        <v>11</v>
      </c>
      <c r="E1444" t="s">
        <v>17</v>
      </c>
      <c r="F1444">
        <v>2024</v>
      </c>
      <c r="G1444" s="4">
        <v>28.26</v>
      </c>
      <c r="H1444">
        <v>84.12</v>
      </c>
      <c r="I1444">
        <f t="shared" si="22"/>
        <v>0</v>
      </c>
    </row>
    <row r="1445" spans="1:9" x14ac:dyDescent="0.3">
      <c r="A1445">
        <v>24</v>
      </c>
      <c r="B1445">
        <v>10</v>
      </c>
      <c r="C1445" s="4">
        <v>28.16</v>
      </c>
      <c r="D1445" t="s">
        <v>11</v>
      </c>
      <c r="E1445" t="s">
        <v>17</v>
      </c>
      <c r="F1445">
        <v>2024</v>
      </c>
      <c r="G1445" s="4">
        <v>28.16</v>
      </c>
      <c r="H1445">
        <v>84.12</v>
      </c>
      <c r="I1445">
        <f t="shared" si="22"/>
        <v>0</v>
      </c>
    </row>
    <row r="1446" spans="1:9" x14ac:dyDescent="0.3">
      <c r="A1446">
        <v>25</v>
      </c>
      <c r="B1446">
        <v>10</v>
      </c>
      <c r="C1446" s="4">
        <v>28.14</v>
      </c>
      <c r="D1446" t="s">
        <v>11</v>
      </c>
      <c r="E1446" t="s">
        <v>17</v>
      </c>
      <c r="F1446">
        <v>2024</v>
      </c>
      <c r="G1446" s="4">
        <v>28.14</v>
      </c>
      <c r="H1446">
        <v>84.12</v>
      </c>
      <c r="I1446">
        <f t="shared" si="22"/>
        <v>0</v>
      </c>
    </row>
    <row r="1447" spans="1:9" x14ac:dyDescent="0.3">
      <c r="A1447">
        <v>26</v>
      </c>
      <c r="B1447">
        <v>10</v>
      </c>
      <c r="C1447" s="4">
        <v>27.02</v>
      </c>
      <c r="D1447" t="s">
        <v>11</v>
      </c>
      <c r="E1447" t="s">
        <v>17</v>
      </c>
      <c r="F1447">
        <v>2024</v>
      </c>
      <c r="G1447" s="4">
        <v>27.02</v>
      </c>
      <c r="H1447">
        <v>84.12</v>
      </c>
      <c r="I1447">
        <f t="shared" si="22"/>
        <v>0</v>
      </c>
    </row>
    <row r="1448" spans="1:9" x14ac:dyDescent="0.3">
      <c r="A1448">
        <v>27</v>
      </c>
      <c r="B1448">
        <v>10</v>
      </c>
      <c r="C1448" s="4">
        <v>26.02</v>
      </c>
      <c r="D1448" t="s">
        <v>11</v>
      </c>
      <c r="E1448" t="s">
        <v>17</v>
      </c>
      <c r="F1448">
        <v>2024</v>
      </c>
      <c r="G1448" s="4">
        <v>26.02</v>
      </c>
      <c r="H1448">
        <v>84.12</v>
      </c>
      <c r="I1448">
        <f t="shared" si="22"/>
        <v>0</v>
      </c>
    </row>
    <row r="1449" spans="1:9" x14ac:dyDescent="0.3">
      <c r="A1449">
        <v>28</v>
      </c>
      <c r="B1449">
        <v>10</v>
      </c>
      <c r="C1449" s="4">
        <v>23.28</v>
      </c>
      <c r="D1449" t="s">
        <v>11</v>
      </c>
      <c r="E1449" t="s">
        <v>17</v>
      </c>
      <c r="F1449">
        <v>2024</v>
      </c>
      <c r="G1449" s="4">
        <v>23.28</v>
      </c>
      <c r="H1449">
        <v>84.12</v>
      </c>
      <c r="I1449">
        <f t="shared" si="22"/>
        <v>0</v>
      </c>
    </row>
    <row r="1450" spans="1:9" x14ac:dyDescent="0.3">
      <c r="A1450">
        <v>29</v>
      </c>
      <c r="B1450">
        <v>10</v>
      </c>
      <c r="C1450" s="4">
        <v>19.260000000000002</v>
      </c>
      <c r="D1450" t="s">
        <v>11</v>
      </c>
      <c r="E1450" t="s">
        <v>17</v>
      </c>
      <c r="F1450">
        <v>2024</v>
      </c>
      <c r="G1450" s="4">
        <v>19.260000000000002</v>
      </c>
      <c r="H1450">
        <v>84.12</v>
      </c>
      <c r="I1450">
        <f t="shared" si="22"/>
        <v>0</v>
      </c>
    </row>
    <row r="1451" spans="1:9" x14ac:dyDescent="0.3">
      <c r="A1451">
        <v>30</v>
      </c>
      <c r="B1451">
        <v>10</v>
      </c>
      <c r="C1451" s="4">
        <v>17.89</v>
      </c>
      <c r="D1451" t="s">
        <v>11</v>
      </c>
      <c r="E1451" t="s">
        <v>17</v>
      </c>
      <c r="F1451">
        <v>2024</v>
      </c>
      <c r="G1451" s="4">
        <v>17.89</v>
      </c>
      <c r="H1451">
        <v>84.12</v>
      </c>
      <c r="I1451">
        <f t="shared" si="22"/>
        <v>0</v>
      </c>
    </row>
    <row r="1452" spans="1:9" x14ac:dyDescent="0.3">
      <c r="A1452">
        <v>31</v>
      </c>
      <c r="B1452">
        <v>10</v>
      </c>
      <c r="C1452" s="4">
        <v>14.75</v>
      </c>
      <c r="D1452" t="s">
        <v>11</v>
      </c>
      <c r="E1452" t="s">
        <v>17</v>
      </c>
      <c r="F1452">
        <v>2024</v>
      </c>
      <c r="G1452" s="4">
        <v>14.75</v>
      </c>
      <c r="H1452">
        <v>84.12</v>
      </c>
      <c r="I1452">
        <f t="shared" si="22"/>
        <v>0</v>
      </c>
    </row>
    <row r="1453" spans="1:9" x14ac:dyDescent="0.3">
      <c r="A1453">
        <v>1</v>
      </c>
      <c r="B1453">
        <v>11</v>
      </c>
      <c r="C1453" s="4">
        <v>69.5</v>
      </c>
      <c r="D1453" t="s">
        <v>8</v>
      </c>
      <c r="E1453" t="s">
        <v>17</v>
      </c>
      <c r="F1453">
        <v>2024</v>
      </c>
      <c r="G1453" s="4">
        <v>69.5</v>
      </c>
      <c r="H1453">
        <v>90</v>
      </c>
      <c r="I1453">
        <f t="shared" si="22"/>
        <v>0</v>
      </c>
    </row>
    <row r="1454" spans="1:9" x14ac:dyDescent="0.3">
      <c r="A1454">
        <v>2</v>
      </c>
      <c r="B1454">
        <v>11</v>
      </c>
      <c r="C1454" s="4">
        <v>66.099999999999994</v>
      </c>
      <c r="D1454" t="s">
        <v>8</v>
      </c>
      <c r="E1454" t="s">
        <v>17</v>
      </c>
      <c r="F1454">
        <v>2024</v>
      </c>
      <c r="G1454" s="4">
        <v>66.099999999999994</v>
      </c>
      <c r="H1454">
        <v>90</v>
      </c>
      <c r="I1454">
        <f t="shared" si="22"/>
        <v>0</v>
      </c>
    </row>
    <row r="1455" spans="1:9" x14ac:dyDescent="0.3">
      <c r="A1455">
        <v>3</v>
      </c>
      <c r="B1455">
        <v>11</v>
      </c>
      <c r="C1455" s="4">
        <v>61.51</v>
      </c>
      <c r="D1455" t="s">
        <v>12</v>
      </c>
      <c r="E1455" t="s">
        <v>17</v>
      </c>
      <c r="F1455">
        <v>2024</v>
      </c>
      <c r="G1455" s="4">
        <v>61.51</v>
      </c>
      <c r="H1455">
        <v>90</v>
      </c>
      <c r="I1455">
        <f t="shared" si="22"/>
        <v>0</v>
      </c>
    </row>
    <row r="1456" spans="1:9" x14ac:dyDescent="0.3">
      <c r="A1456">
        <v>4</v>
      </c>
      <c r="B1456">
        <v>11</v>
      </c>
      <c r="C1456" s="4">
        <v>61.51</v>
      </c>
      <c r="D1456" t="s">
        <v>12</v>
      </c>
      <c r="E1456" t="s">
        <v>17</v>
      </c>
      <c r="F1456">
        <v>2024</v>
      </c>
      <c r="G1456" s="4">
        <v>61.51</v>
      </c>
      <c r="H1456">
        <v>90</v>
      </c>
      <c r="I1456">
        <f t="shared" si="22"/>
        <v>0</v>
      </c>
    </row>
    <row r="1457" spans="1:9" x14ac:dyDescent="0.3">
      <c r="A1457">
        <v>5</v>
      </c>
      <c r="B1457">
        <v>11</v>
      </c>
      <c r="C1457" s="4">
        <v>57.38</v>
      </c>
      <c r="D1457" t="s">
        <v>12</v>
      </c>
      <c r="E1457" t="s">
        <v>17</v>
      </c>
      <c r="F1457">
        <v>2024</v>
      </c>
      <c r="G1457" s="4">
        <v>57.38</v>
      </c>
      <c r="H1457">
        <v>90</v>
      </c>
      <c r="I1457">
        <f t="shared" si="22"/>
        <v>0</v>
      </c>
    </row>
    <row r="1458" spans="1:9" x14ac:dyDescent="0.3">
      <c r="A1458">
        <v>6</v>
      </c>
      <c r="B1458">
        <v>11</v>
      </c>
      <c r="C1458" s="4">
        <v>55.73</v>
      </c>
      <c r="D1458" t="s">
        <v>12</v>
      </c>
      <c r="E1458" t="s">
        <v>17</v>
      </c>
      <c r="F1458">
        <v>2024</v>
      </c>
      <c r="G1458" s="4">
        <v>55.73</v>
      </c>
      <c r="H1458">
        <v>90</v>
      </c>
      <c r="I1458">
        <f t="shared" si="22"/>
        <v>0</v>
      </c>
    </row>
    <row r="1459" spans="1:9" x14ac:dyDescent="0.3">
      <c r="A1459">
        <v>7</v>
      </c>
      <c r="B1459">
        <v>11</v>
      </c>
      <c r="C1459" s="4">
        <v>52.63</v>
      </c>
      <c r="D1459" t="s">
        <v>12</v>
      </c>
      <c r="E1459" t="s">
        <v>17</v>
      </c>
      <c r="F1459">
        <v>2024</v>
      </c>
      <c r="G1459" s="4">
        <v>52.63</v>
      </c>
      <c r="H1459">
        <v>90</v>
      </c>
      <c r="I1459">
        <f t="shared" si="22"/>
        <v>0</v>
      </c>
    </row>
    <row r="1460" spans="1:9" x14ac:dyDescent="0.3">
      <c r="A1460">
        <v>8</v>
      </c>
      <c r="B1460">
        <v>11</v>
      </c>
      <c r="C1460" s="4">
        <v>52.32</v>
      </c>
      <c r="D1460" t="s">
        <v>12</v>
      </c>
      <c r="E1460" t="s">
        <v>17</v>
      </c>
      <c r="F1460">
        <v>2024</v>
      </c>
      <c r="G1460" s="4">
        <v>52.32</v>
      </c>
      <c r="H1460">
        <v>90</v>
      </c>
      <c r="I1460">
        <f t="shared" si="22"/>
        <v>0</v>
      </c>
    </row>
    <row r="1461" spans="1:9" x14ac:dyDescent="0.3">
      <c r="A1461">
        <v>9</v>
      </c>
      <c r="B1461">
        <v>11</v>
      </c>
      <c r="C1461" s="4">
        <v>50.57</v>
      </c>
      <c r="D1461" t="s">
        <v>12</v>
      </c>
      <c r="E1461" t="s">
        <v>17</v>
      </c>
      <c r="F1461">
        <v>2024</v>
      </c>
      <c r="G1461" s="4">
        <v>50.570000000000007</v>
      </c>
      <c r="H1461">
        <v>90</v>
      </c>
      <c r="I1461">
        <f t="shared" si="22"/>
        <v>0</v>
      </c>
    </row>
    <row r="1462" spans="1:9" x14ac:dyDescent="0.3">
      <c r="A1462">
        <v>10</v>
      </c>
      <c r="B1462">
        <v>11</v>
      </c>
      <c r="C1462" s="4">
        <v>49.59</v>
      </c>
      <c r="D1462" t="s">
        <v>12</v>
      </c>
      <c r="E1462" t="s">
        <v>17</v>
      </c>
      <c r="F1462">
        <v>2024</v>
      </c>
      <c r="G1462" s="4">
        <v>49.59</v>
      </c>
      <c r="H1462">
        <v>90</v>
      </c>
      <c r="I1462">
        <f t="shared" si="22"/>
        <v>0</v>
      </c>
    </row>
    <row r="1463" spans="1:9" x14ac:dyDescent="0.3">
      <c r="A1463">
        <v>11</v>
      </c>
      <c r="B1463">
        <v>11</v>
      </c>
      <c r="C1463" s="4">
        <v>48.5</v>
      </c>
      <c r="D1463" t="s">
        <v>11</v>
      </c>
      <c r="E1463" t="s">
        <v>17</v>
      </c>
      <c r="F1463">
        <v>2024</v>
      </c>
      <c r="G1463" s="4">
        <v>48.5</v>
      </c>
      <c r="H1463">
        <v>90</v>
      </c>
      <c r="I1463">
        <f t="shared" si="22"/>
        <v>0</v>
      </c>
    </row>
    <row r="1464" spans="1:9" x14ac:dyDescent="0.3">
      <c r="A1464">
        <v>12</v>
      </c>
      <c r="B1464">
        <v>11</v>
      </c>
      <c r="C1464" s="4">
        <v>44.79</v>
      </c>
      <c r="D1464" t="s">
        <v>11</v>
      </c>
      <c r="E1464" t="s">
        <v>17</v>
      </c>
      <c r="F1464">
        <v>2024</v>
      </c>
      <c r="G1464" s="4">
        <v>44.79</v>
      </c>
      <c r="H1464">
        <v>90</v>
      </c>
      <c r="I1464">
        <f t="shared" si="22"/>
        <v>0</v>
      </c>
    </row>
    <row r="1465" spans="1:9" x14ac:dyDescent="0.3">
      <c r="A1465">
        <v>13</v>
      </c>
      <c r="B1465">
        <v>11</v>
      </c>
      <c r="C1465" s="4">
        <v>42.67</v>
      </c>
      <c r="D1465" t="s">
        <v>11</v>
      </c>
      <c r="E1465" t="s">
        <v>17</v>
      </c>
      <c r="F1465">
        <v>2024</v>
      </c>
      <c r="G1465" s="4">
        <v>42.67</v>
      </c>
      <c r="H1465">
        <v>90</v>
      </c>
      <c r="I1465">
        <f t="shared" si="22"/>
        <v>0</v>
      </c>
    </row>
    <row r="1466" spans="1:9" x14ac:dyDescent="0.3">
      <c r="A1466">
        <v>14</v>
      </c>
      <c r="B1466">
        <v>11</v>
      </c>
      <c r="C1466" s="4">
        <v>42.36</v>
      </c>
      <c r="D1466" t="s">
        <v>11</v>
      </c>
      <c r="E1466" t="s">
        <v>17</v>
      </c>
      <c r="F1466">
        <v>2024</v>
      </c>
      <c r="G1466" s="4">
        <v>42.36</v>
      </c>
      <c r="H1466">
        <v>90</v>
      </c>
      <c r="I1466">
        <f t="shared" si="22"/>
        <v>0</v>
      </c>
    </row>
    <row r="1467" spans="1:9" x14ac:dyDescent="0.3">
      <c r="A1467">
        <v>15</v>
      </c>
      <c r="B1467">
        <v>11</v>
      </c>
      <c r="C1467" s="4">
        <v>42.16</v>
      </c>
      <c r="D1467" t="s">
        <v>11</v>
      </c>
      <c r="E1467" t="s">
        <v>17</v>
      </c>
      <c r="F1467">
        <v>2024</v>
      </c>
      <c r="G1467" s="4">
        <v>42.16</v>
      </c>
      <c r="H1467">
        <v>90</v>
      </c>
      <c r="I1467">
        <f t="shared" si="22"/>
        <v>0</v>
      </c>
    </row>
    <row r="1468" spans="1:9" x14ac:dyDescent="0.3">
      <c r="A1468">
        <v>16</v>
      </c>
      <c r="B1468">
        <v>11</v>
      </c>
      <c r="C1468" s="4">
        <v>41.38</v>
      </c>
      <c r="D1468" t="s">
        <v>11</v>
      </c>
      <c r="E1468" t="s">
        <v>17</v>
      </c>
      <c r="F1468">
        <v>2024</v>
      </c>
      <c r="G1468" s="4">
        <v>41.38</v>
      </c>
      <c r="H1468">
        <v>90</v>
      </c>
      <c r="I1468">
        <f t="shared" si="22"/>
        <v>0</v>
      </c>
    </row>
    <row r="1469" spans="1:9" x14ac:dyDescent="0.3">
      <c r="A1469">
        <v>17</v>
      </c>
      <c r="B1469">
        <v>11</v>
      </c>
      <c r="C1469" s="4">
        <v>39.94</v>
      </c>
      <c r="D1469" t="s">
        <v>11</v>
      </c>
      <c r="E1469" t="s">
        <v>17</v>
      </c>
      <c r="F1469">
        <v>2024</v>
      </c>
      <c r="G1469" s="4">
        <v>39.94</v>
      </c>
      <c r="H1469">
        <v>90</v>
      </c>
      <c r="I1469">
        <f t="shared" si="22"/>
        <v>0</v>
      </c>
    </row>
    <row r="1470" spans="1:9" x14ac:dyDescent="0.3">
      <c r="A1470">
        <v>18</v>
      </c>
      <c r="B1470">
        <v>11</v>
      </c>
      <c r="C1470" s="4">
        <v>38.65</v>
      </c>
      <c r="D1470" t="s">
        <v>11</v>
      </c>
      <c r="E1470" t="s">
        <v>17</v>
      </c>
      <c r="F1470">
        <v>2024</v>
      </c>
      <c r="G1470" s="4">
        <v>38.65</v>
      </c>
      <c r="H1470">
        <v>90</v>
      </c>
      <c r="I1470">
        <f t="shared" si="22"/>
        <v>0</v>
      </c>
    </row>
    <row r="1471" spans="1:9" x14ac:dyDescent="0.3">
      <c r="A1471">
        <v>19</v>
      </c>
      <c r="B1471">
        <v>11</v>
      </c>
      <c r="C1471" s="4">
        <v>38.65</v>
      </c>
      <c r="D1471" t="s">
        <v>11</v>
      </c>
      <c r="E1471" t="s">
        <v>17</v>
      </c>
      <c r="F1471">
        <v>2024</v>
      </c>
      <c r="G1471" s="4">
        <v>38.65</v>
      </c>
      <c r="H1471">
        <v>90</v>
      </c>
      <c r="I1471">
        <f t="shared" si="22"/>
        <v>0</v>
      </c>
    </row>
    <row r="1472" spans="1:9" x14ac:dyDescent="0.3">
      <c r="A1472">
        <v>20</v>
      </c>
      <c r="B1472">
        <v>11</v>
      </c>
      <c r="C1472" s="4">
        <v>38.08</v>
      </c>
      <c r="D1472" t="s">
        <v>11</v>
      </c>
      <c r="E1472" t="s">
        <v>17</v>
      </c>
      <c r="F1472">
        <v>2024</v>
      </c>
      <c r="G1472" s="4">
        <v>38.08</v>
      </c>
      <c r="H1472">
        <v>90</v>
      </c>
      <c r="I1472">
        <f t="shared" si="22"/>
        <v>0</v>
      </c>
    </row>
    <row r="1473" spans="1:9" x14ac:dyDescent="0.3">
      <c r="A1473">
        <v>21</v>
      </c>
      <c r="B1473">
        <v>11</v>
      </c>
      <c r="C1473" s="4">
        <v>36.69</v>
      </c>
      <c r="D1473" t="s">
        <v>11</v>
      </c>
      <c r="E1473" t="s">
        <v>17</v>
      </c>
      <c r="F1473">
        <v>2024</v>
      </c>
      <c r="G1473" s="4">
        <v>36.69</v>
      </c>
      <c r="H1473">
        <v>90</v>
      </c>
      <c r="I1473">
        <f t="shared" si="22"/>
        <v>0</v>
      </c>
    </row>
    <row r="1474" spans="1:9" x14ac:dyDescent="0.3">
      <c r="A1474">
        <v>22</v>
      </c>
      <c r="B1474">
        <v>11</v>
      </c>
      <c r="C1474" s="4">
        <v>35.71</v>
      </c>
      <c r="D1474" t="s">
        <v>11</v>
      </c>
      <c r="E1474" t="s">
        <v>17</v>
      </c>
      <c r="F1474">
        <v>2024</v>
      </c>
      <c r="G1474" s="4">
        <v>35.71</v>
      </c>
      <c r="H1474">
        <v>90</v>
      </c>
      <c r="I1474">
        <f t="shared" si="22"/>
        <v>0</v>
      </c>
    </row>
    <row r="1475" spans="1:9" x14ac:dyDescent="0.3">
      <c r="A1475">
        <v>23</v>
      </c>
      <c r="B1475">
        <v>11</v>
      </c>
      <c r="C1475" s="4">
        <v>33.950000000000003</v>
      </c>
      <c r="D1475" t="s">
        <v>11</v>
      </c>
      <c r="E1475" t="s">
        <v>17</v>
      </c>
      <c r="F1475">
        <v>2024</v>
      </c>
      <c r="G1475" s="4">
        <v>33.950000000000003</v>
      </c>
      <c r="H1475">
        <v>90</v>
      </c>
      <c r="I1475">
        <f t="shared" ref="I1475:I1538" si="23">IF(C1475&gt;=H1475,1,0)</f>
        <v>0</v>
      </c>
    </row>
    <row r="1476" spans="1:9" x14ac:dyDescent="0.3">
      <c r="A1476">
        <v>24</v>
      </c>
      <c r="B1476">
        <v>11</v>
      </c>
      <c r="C1476" s="4">
        <v>29</v>
      </c>
      <c r="D1476" t="s">
        <v>11</v>
      </c>
      <c r="E1476" t="s">
        <v>17</v>
      </c>
      <c r="F1476">
        <v>2024</v>
      </c>
      <c r="G1476" s="4">
        <v>29</v>
      </c>
      <c r="H1476">
        <v>90</v>
      </c>
      <c r="I1476">
        <f t="shared" si="23"/>
        <v>0</v>
      </c>
    </row>
    <row r="1477" spans="1:9" x14ac:dyDescent="0.3">
      <c r="A1477">
        <v>25</v>
      </c>
      <c r="B1477">
        <v>11</v>
      </c>
      <c r="C1477" s="4">
        <v>28.38</v>
      </c>
      <c r="D1477" t="s">
        <v>11</v>
      </c>
      <c r="E1477" t="s">
        <v>17</v>
      </c>
      <c r="F1477">
        <v>2024</v>
      </c>
      <c r="G1477" s="4">
        <v>28.38</v>
      </c>
      <c r="H1477">
        <v>90</v>
      </c>
      <c r="I1477">
        <f t="shared" si="23"/>
        <v>0</v>
      </c>
    </row>
    <row r="1478" spans="1:9" x14ac:dyDescent="0.3">
      <c r="A1478">
        <v>26</v>
      </c>
      <c r="B1478">
        <v>11</v>
      </c>
      <c r="C1478" s="4">
        <v>24.56</v>
      </c>
      <c r="D1478" t="s">
        <v>11</v>
      </c>
      <c r="E1478" t="s">
        <v>17</v>
      </c>
      <c r="F1478">
        <v>2024</v>
      </c>
      <c r="G1478" s="4">
        <v>24.56</v>
      </c>
      <c r="H1478">
        <v>90</v>
      </c>
      <c r="I1478">
        <f t="shared" si="23"/>
        <v>0</v>
      </c>
    </row>
    <row r="1479" spans="1:9" x14ac:dyDescent="0.3">
      <c r="A1479">
        <v>27</v>
      </c>
      <c r="B1479">
        <v>11</v>
      </c>
      <c r="C1479" s="4">
        <v>23.01</v>
      </c>
      <c r="D1479" t="s">
        <v>11</v>
      </c>
      <c r="E1479" t="s">
        <v>17</v>
      </c>
      <c r="F1479">
        <v>2024</v>
      </c>
      <c r="G1479" s="4">
        <v>23.01</v>
      </c>
      <c r="H1479">
        <v>90</v>
      </c>
      <c r="I1479">
        <f t="shared" si="23"/>
        <v>0</v>
      </c>
    </row>
    <row r="1480" spans="1:9" x14ac:dyDescent="0.3">
      <c r="A1480">
        <v>28</v>
      </c>
      <c r="B1480">
        <v>11</v>
      </c>
      <c r="C1480" s="4">
        <v>21.83</v>
      </c>
      <c r="D1480" t="s">
        <v>11</v>
      </c>
      <c r="E1480" t="s">
        <v>17</v>
      </c>
      <c r="F1480">
        <v>2024</v>
      </c>
      <c r="G1480" s="4">
        <v>21.83</v>
      </c>
      <c r="H1480">
        <v>90</v>
      </c>
      <c r="I1480">
        <f t="shared" si="23"/>
        <v>0</v>
      </c>
    </row>
    <row r="1481" spans="1:9" x14ac:dyDescent="0.3">
      <c r="A1481">
        <v>29</v>
      </c>
      <c r="B1481">
        <v>11</v>
      </c>
      <c r="C1481" s="4">
        <v>21.26</v>
      </c>
      <c r="D1481" t="s">
        <v>11</v>
      </c>
      <c r="E1481" t="s">
        <v>17</v>
      </c>
      <c r="F1481">
        <v>2024</v>
      </c>
      <c r="G1481" s="4">
        <v>21.26</v>
      </c>
      <c r="H1481">
        <v>90</v>
      </c>
      <c r="I1481">
        <f t="shared" si="23"/>
        <v>0</v>
      </c>
    </row>
    <row r="1482" spans="1:9" x14ac:dyDescent="0.3">
      <c r="A1482">
        <v>30</v>
      </c>
      <c r="B1482">
        <v>11</v>
      </c>
      <c r="C1482" s="4">
        <v>0</v>
      </c>
      <c r="D1482" t="s">
        <v>11</v>
      </c>
      <c r="E1482" t="s">
        <v>17</v>
      </c>
      <c r="F1482">
        <v>2024</v>
      </c>
      <c r="G1482" s="4">
        <v>0</v>
      </c>
      <c r="H1482">
        <v>90</v>
      </c>
      <c r="I1482">
        <f t="shared" si="23"/>
        <v>0</v>
      </c>
    </row>
    <row r="1483" spans="1:9" x14ac:dyDescent="0.3">
      <c r="A1483">
        <v>1</v>
      </c>
      <c r="B1483">
        <v>9</v>
      </c>
      <c r="C1483" s="4">
        <v>137</v>
      </c>
      <c r="D1483" t="s">
        <v>8</v>
      </c>
      <c r="E1483" t="s">
        <v>17</v>
      </c>
      <c r="F1483">
        <v>2025</v>
      </c>
      <c r="G1483" s="4">
        <v>68.5</v>
      </c>
      <c r="H1483">
        <v>172</v>
      </c>
      <c r="I1483">
        <f t="shared" si="23"/>
        <v>0</v>
      </c>
    </row>
    <row r="1484" spans="1:9" x14ac:dyDescent="0.3">
      <c r="A1484">
        <v>2</v>
      </c>
      <c r="B1484">
        <v>9</v>
      </c>
      <c r="C1484" s="4">
        <v>102</v>
      </c>
      <c r="D1484" t="s">
        <v>8</v>
      </c>
      <c r="E1484" t="s">
        <v>17</v>
      </c>
      <c r="F1484">
        <v>2025</v>
      </c>
      <c r="G1484" s="4">
        <v>51</v>
      </c>
      <c r="H1484">
        <v>172</v>
      </c>
      <c r="I1484">
        <f t="shared" si="23"/>
        <v>0</v>
      </c>
    </row>
    <row r="1485" spans="1:9" x14ac:dyDescent="0.3">
      <c r="A1485">
        <v>3</v>
      </c>
      <c r="B1485">
        <v>9</v>
      </c>
      <c r="C1485" s="4">
        <v>99</v>
      </c>
      <c r="D1485" t="s">
        <v>8</v>
      </c>
      <c r="E1485" t="s">
        <v>17</v>
      </c>
      <c r="F1485">
        <v>2025</v>
      </c>
      <c r="G1485" s="4">
        <v>49.5</v>
      </c>
      <c r="H1485">
        <v>172</v>
      </c>
      <c r="I1485">
        <f t="shared" si="23"/>
        <v>0</v>
      </c>
    </row>
    <row r="1486" spans="1:9" x14ac:dyDescent="0.3">
      <c r="A1486">
        <v>4</v>
      </c>
      <c r="B1486">
        <v>9</v>
      </c>
      <c r="C1486" s="4">
        <v>95</v>
      </c>
      <c r="D1486" t="s">
        <v>12</v>
      </c>
      <c r="E1486" t="s">
        <v>17</v>
      </c>
      <c r="F1486">
        <v>2025</v>
      </c>
      <c r="G1486" s="4">
        <v>47.5</v>
      </c>
      <c r="H1486">
        <v>172</v>
      </c>
      <c r="I1486">
        <f t="shared" si="23"/>
        <v>0</v>
      </c>
    </row>
    <row r="1487" spans="1:9" x14ac:dyDescent="0.3">
      <c r="A1487">
        <v>5</v>
      </c>
      <c r="B1487">
        <v>9</v>
      </c>
      <c r="C1487" s="4">
        <v>95</v>
      </c>
      <c r="D1487" t="s">
        <v>12</v>
      </c>
      <c r="E1487" t="s">
        <v>17</v>
      </c>
      <c r="F1487">
        <v>2025</v>
      </c>
      <c r="G1487" s="4">
        <v>47.5</v>
      </c>
      <c r="H1487">
        <v>172</v>
      </c>
      <c r="I1487">
        <f t="shared" si="23"/>
        <v>0</v>
      </c>
    </row>
    <row r="1488" spans="1:9" x14ac:dyDescent="0.3">
      <c r="A1488">
        <v>6</v>
      </c>
      <c r="B1488">
        <v>9</v>
      </c>
      <c r="C1488" s="4">
        <v>91</v>
      </c>
      <c r="D1488" t="s">
        <v>12</v>
      </c>
      <c r="E1488" t="s">
        <v>17</v>
      </c>
      <c r="F1488">
        <v>2025</v>
      </c>
      <c r="G1488" s="4">
        <v>45.5</v>
      </c>
      <c r="H1488">
        <v>172</v>
      </c>
      <c r="I1488">
        <f t="shared" si="23"/>
        <v>0</v>
      </c>
    </row>
    <row r="1489" spans="1:9" x14ac:dyDescent="0.3">
      <c r="A1489">
        <v>7</v>
      </c>
      <c r="B1489">
        <v>9</v>
      </c>
      <c r="C1489" s="4">
        <v>88</v>
      </c>
      <c r="D1489" t="s">
        <v>12</v>
      </c>
      <c r="E1489" t="s">
        <v>17</v>
      </c>
      <c r="F1489">
        <v>2025</v>
      </c>
      <c r="G1489" s="4">
        <v>44</v>
      </c>
      <c r="H1489">
        <v>172</v>
      </c>
      <c r="I1489">
        <f t="shared" si="23"/>
        <v>0</v>
      </c>
    </row>
    <row r="1490" spans="1:9" x14ac:dyDescent="0.3">
      <c r="A1490">
        <v>8</v>
      </c>
      <c r="B1490">
        <v>9</v>
      </c>
      <c r="C1490" s="4">
        <v>84</v>
      </c>
      <c r="D1490" t="s">
        <v>12</v>
      </c>
      <c r="E1490" t="s">
        <v>17</v>
      </c>
      <c r="F1490">
        <v>2025</v>
      </c>
      <c r="G1490" s="4">
        <v>42</v>
      </c>
      <c r="H1490">
        <v>172</v>
      </c>
      <c r="I1490">
        <f t="shared" si="23"/>
        <v>0</v>
      </c>
    </row>
    <row r="1491" spans="1:9" x14ac:dyDescent="0.3">
      <c r="A1491">
        <v>9</v>
      </c>
      <c r="B1491">
        <v>9</v>
      </c>
      <c r="C1491" s="4">
        <v>83</v>
      </c>
      <c r="D1491" t="s">
        <v>12</v>
      </c>
      <c r="E1491" t="s">
        <v>17</v>
      </c>
      <c r="F1491">
        <v>2025</v>
      </c>
      <c r="G1491" s="4">
        <v>41.5</v>
      </c>
      <c r="H1491">
        <v>172</v>
      </c>
      <c r="I1491">
        <f t="shared" si="23"/>
        <v>0</v>
      </c>
    </row>
    <row r="1492" spans="1:9" x14ac:dyDescent="0.3">
      <c r="A1492">
        <v>10</v>
      </c>
      <c r="B1492">
        <v>9</v>
      </c>
      <c r="C1492" s="4">
        <v>78</v>
      </c>
      <c r="D1492" t="s">
        <v>12</v>
      </c>
      <c r="E1492" t="s">
        <v>17</v>
      </c>
      <c r="F1492">
        <v>2025</v>
      </c>
      <c r="G1492" s="4">
        <v>39</v>
      </c>
      <c r="H1492">
        <v>172</v>
      </c>
      <c r="I1492">
        <f t="shared" si="23"/>
        <v>0</v>
      </c>
    </row>
    <row r="1493" spans="1:9" x14ac:dyDescent="0.3">
      <c r="A1493">
        <v>11</v>
      </c>
      <c r="B1493">
        <v>9</v>
      </c>
      <c r="C1493" s="4">
        <v>75</v>
      </c>
      <c r="D1493" t="s">
        <v>12</v>
      </c>
      <c r="E1493" t="s">
        <v>17</v>
      </c>
      <c r="F1493">
        <v>2025</v>
      </c>
      <c r="G1493" s="4">
        <v>37.5</v>
      </c>
      <c r="H1493">
        <v>172</v>
      </c>
      <c r="I1493">
        <f t="shared" si="23"/>
        <v>0</v>
      </c>
    </row>
    <row r="1494" spans="1:9" x14ac:dyDescent="0.3">
      <c r="A1494">
        <v>12</v>
      </c>
      <c r="B1494">
        <v>9</v>
      </c>
      <c r="C1494" s="4">
        <v>75</v>
      </c>
      <c r="D1494" t="s">
        <v>12</v>
      </c>
      <c r="E1494" t="s">
        <v>17</v>
      </c>
      <c r="F1494">
        <v>2025</v>
      </c>
      <c r="G1494" s="4">
        <v>37.5</v>
      </c>
      <c r="H1494">
        <v>172</v>
      </c>
      <c r="I1494">
        <f t="shared" si="23"/>
        <v>0</v>
      </c>
    </row>
    <row r="1495" spans="1:9" x14ac:dyDescent="0.3">
      <c r="A1495">
        <v>13</v>
      </c>
      <c r="B1495">
        <v>9</v>
      </c>
      <c r="C1495" s="4">
        <v>73</v>
      </c>
      <c r="D1495" t="s">
        <v>12</v>
      </c>
      <c r="E1495" t="s">
        <v>17</v>
      </c>
      <c r="F1495">
        <v>2025</v>
      </c>
      <c r="G1495" s="4">
        <v>36.5</v>
      </c>
      <c r="H1495">
        <v>172</v>
      </c>
      <c r="I1495">
        <f t="shared" si="23"/>
        <v>0</v>
      </c>
    </row>
    <row r="1496" spans="1:9" x14ac:dyDescent="0.3">
      <c r="A1496">
        <v>14</v>
      </c>
      <c r="B1496">
        <v>9</v>
      </c>
      <c r="C1496" s="4">
        <v>73</v>
      </c>
      <c r="D1496" t="s">
        <v>12</v>
      </c>
      <c r="E1496" t="s">
        <v>17</v>
      </c>
      <c r="F1496">
        <v>2025</v>
      </c>
      <c r="G1496" s="4">
        <v>36.5</v>
      </c>
      <c r="H1496">
        <v>172</v>
      </c>
      <c r="I1496">
        <f t="shared" si="23"/>
        <v>0</v>
      </c>
    </row>
    <row r="1497" spans="1:9" x14ac:dyDescent="0.3">
      <c r="A1497">
        <v>15</v>
      </c>
      <c r="B1497">
        <v>9</v>
      </c>
      <c r="C1497" s="4">
        <v>73</v>
      </c>
      <c r="D1497" t="s">
        <v>12</v>
      </c>
      <c r="E1497" t="s">
        <v>17</v>
      </c>
      <c r="F1497">
        <v>2025</v>
      </c>
      <c r="G1497" s="4">
        <v>36.5</v>
      </c>
      <c r="H1497">
        <v>172</v>
      </c>
      <c r="I1497">
        <f t="shared" si="23"/>
        <v>0</v>
      </c>
    </row>
    <row r="1498" spans="1:9" x14ac:dyDescent="0.3">
      <c r="A1498">
        <v>16</v>
      </c>
      <c r="B1498">
        <v>9</v>
      </c>
      <c r="C1498" s="4">
        <v>68</v>
      </c>
      <c r="D1498" t="s">
        <v>11</v>
      </c>
      <c r="E1498" t="s">
        <v>17</v>
      </c>
      <c r="F1498">
        <v>2025</v>
      </c>
      <c r="G1498" s="4">
        <v>34</v>
      </c>
      <c r="H1498">
        <v>172</v>
      </c>
      <c r="I1498">
        <f t="shared" si="23"/>
        <v>0</v>
      </c>
    </row>
    <row r="1499" spans="1:9" x14ac:dyDescent="0.3">
      <c r="A1499">
        <v>17</v>
      </c>
      <c r="B1499">
        <v>9</v>
      </c>
      <c r="C1499" s="4">
        <v>66</v>
      </c>
      <c r="D1499" t="s">
        <v>11</v>
      </c>
      <c r="E1499" t="s">
        <v>17</v>
      </c>
      <c r="F1499">
        <v>2025</v>
      </c>
      <c r="G1499" s="4">
        <v>33</v>
      </c>
      <c r="H1499">
        <v>172</v>
      </c>
      <c r="I1499">
        <f t="shared" si="23"/>
        <v>0</v>
      </c>
    </row>
    <row r="1500" spans="1:9" x14ac:dyDescent="0.3">
      <c r="A1500">
        <v>18</v>
      </c>
      <c r="B1500">
        <v>9</v>
      </c>
      <c r="C1500" s="4">
        <v>65</v>
      </c>
      <c r="D1500" t="s">
        <v>11</v>
      </c>
      <c r="E1500" t="s">
        <v>17</v>
      </c>
      <c r="F1500">
        <v>2025</v>
      </c>
      <c r="G1500" s="4">
        <v>32.5</v>
      </c>
      <c r="H1500">
        <v>172</v>
      </c>
      <c r="I1500">
        <f t="shared" si="23"/>
        <v>0</v>
      </c>
    </row>
    <row r="1501" spans="1:9" x14ac:dyDescent="0.3">
      <c r="A1501">
        <v>19</v>
      </c>
      <c r="B1501">
        <v>9</v>
      </c>
      <c r="C1501" s="4">
        <v>64</v>
      </c>
      <c r="D1501" t="s">
        <v>11</v>
      </c>
      <c r="E1501" t="s">
        <v>17</v>
      </c>
      <c r="F1501">
        <v>2025</v>
      </c>
      <c r="G1501" s="4">
        <v>32</v>
      </c>
      <c r="H1501">
        <v>172</v>
      </c>
      <c r="I1501">
        <f t="shared" si="23"/>
        <v>0</v>
      </c>
    </row>
    <row r="1502" spans="1:9" x14ac:dyDescent="0.3">
      <c r="A1502">
        <v>20</v>
      </c>
      <c r="B1502">
        <v>9</v>
      </c>
      <c r="C1502" s="4">
        <v>62</v>
      </c>
      <c r="D1502" t="s">
        <v>11</v>
      </c>
      <c r="E1502" t="s">
        <v>17</v>
      </c>
      <c r="F1502">
        <v>2025</v>
      </c>
      <c r="G1502" s="4">
        <v>31</v>
      </c>
      <c r="H1502">
        <v>172</v>
      </c>
      <c r="I1502">
        <f t="shared" si="23"/>
        <v>0</v>
      </c>
    </row>
    <row r="1503" spans="1:9" x14ac:dyDescent="0.3">
      <c r="A1503">
        <v>21</v>
      </c>
      <c r="B1503">
        <v>9</v>
      </c>
      <c r="C1503" s="4">
        <v>61</v>
      </c>
      <c r="D1503" t="s">
        <v>11</v>
      </c>
      <c r="E1503" t="s">
        <v>17</v>
      </c>
      <c r="F1503">
        <v>2025</v>
      </c>
      <c r="G1503" s="4">
        <v>30.5</v>
      </c>
      <c r="H1503">
        <v>172</v>
      </c>
      <c r="I1503">
        <f t="shared" si="23"/>
        <v>0</v>
      </c>
    </row>
    <row r="1504" spans="1:9" x14ac:dyDescent="0.3">
      <c r="A1504">
        <v>22</v>
      </c>
      <c r="B1504">
        <v>9</v>
      </c>
      <c r="C1504" s="4">
        <v>61</v>
      </c>
      <c r="D1504" t="s">
        <v>11</v>
      </c>
      <c r="E1504" t="s">
        <v>17</v>
      </c>
      <c r="F1504">
        <v>2025</v>
      </c>
      <c r="G1504" s="4">
        <v>30.5</v>
      </c>
      <c r="H1504">
        <v>172</v>
      </c>
      <c r="I1504">
        <f t="shared" si="23"/>
        <v>0</v>
      </c>
    </row>
    <row r="1505" spans="1:9" x14ac:dyDescent="0.3">
      <c r="A1505">
        <v>23</v>
      </c>
      <c r="B1505">
        <v>9</v>
      </c>
      <c r="C1505" s="4">
        <v>58</v>
      </c>
      <c r="D1505" t="s">
        <v>11</v>
      </c>
      <c r="E1505" t="s">
        <v>17</v>
      </c>
      <c r="F1505">
        <v>2025</v>
      </c>
      <c r="G1505" s="4">
        <v>29</v>
      </c>
      <c r="H1505">
        <v>172</v>
      </c>
      <c r="I1505">
        <f t="shared" si="23"/>
        <v>0</v>
      </c>
    </row>
    <row r="1506" spans="1:9" x14ac:dyDescent="0.3">
      <c r="A1506">
        <v>24</v>
      </c>
      <c r="B1506">
        <v>9</v>
      </c>
      <c r="C1506" s="4">
        <v>56</v>
      </c>
      <c r="D1506" t="s">
        <v>11</v>
      </c>
      <c r="E1506" t="s">
        <v>17</v>
      </c>
      <c r="F1506">
        <v>2025</v>
      </c>
      <c r="G1506" s="4">
        <v>28</v>
      </c>
      <c r="H1506">
        <v>172</v>
      </c>
      <c r="I1506">
        <f t="shared" si="23"/>
        <v>0</v>
      </c>
    </row>
    <row r="1507" spans="1:9" x14ac:dyDescent="0.3">
      <c r="A1507">
        <v>25</v>
      </c>
      <c r="B1507">
        <v>9</v>
      </c>
      <c r="C1507" s="4">
        <v>56</v>
      </c>
      <c r="D1507" t="s">
        <v>11</v>
      </c>
      <c r="E1507" t="s">
        <v>17</v>
      </c>
      <c r="F1507">
        <v>2025</v>
      </c>
      <c r="G1507" s="4">
        <v>28</v>
      </c>
      <c r="H1507">
        <v>172</v>
      </c>
      <c r="I1507">
        <f t="shared" si="23"/>
        <v>0</v>
      </c>
    </row>
    <row r="1508" spans="1:9" x14ac:dyDescent="0.3">
      <c r="A1508">
        <v>26</v>
      </c>
      <c r="B1508">
        <v>9</v>
      </c>
      <c r="C1508" s="4">
        <v>55</v>
      </c>
      <c r="D1508" t="s">
        <v>11</v>
      </c>
      <c r="E1508" t="s">
        <v>17</v>
      </c>
      <c r="F1508">
        <v>2025</v>
      </c>
      <c r="G1508" s="4">
        <v>27.5</v>
      </c>
      <c r="H1508">
        <v>172</v>
      </c>
      <c r="I1508">
        <f t="shared" si="23"/>
        <v>0</v>
      </c>
    </row>
    <row r="1509" spans="1:9" x14ac:dyDescent="0.3">
      <c r="A1509">
        <v>27</v>
      </c>
      <c r="B1509">
        <v>9</v>
      </c>
      <c r="C1509" s="4">
        <v>53</v>
      </c>
      <c r="D1509" t="s">
        <v>11</v>
      </c>
      <c r="E1509" t="s">
        <v>17</v>
      </c>
      <c r="F1509">
        <v>2025</v>
      </c>
      <c r="G1509" s="4">
        <v>26.5</v>
      </c>
      <c r="H1509">
        <v>172</v>
      </c>
      <c r="I1509">
        <f t="shared" si="23"/>
        <v>0</v>
      </c>
    </row>
    <row r="1510" spans="1:9" x14ac:dyDescent="0.3">
      <c r="A1510">
        <v>28</v>
      </c>
      <c r="B1510">
        <v>9</v>
      </c>
      <c r="C1510" s="4">
        <v>53</v>
      </c>
      <c r="D1510" t="s">
        <v>11</v>
      </c>
      <c r="E1510" t="s">
        <v>17</v>
      </c>
      <c r="F1510">
        <v>2025</v>
      </c>
      <c r="G1510" s="4">
        <v>26.5</v>
      </c>
      <c r="H1510">
        <v>172</v>
      </c>
      <c r="I1510">
        <f t="shared" si="23"/>
        <v>0</v>
      </c>
    </row>
    <row r="1511" spans="1:9" x14ac:dyDescent="0.3">
      <c r="A1511">
        <v>29</v>
      </c>
      <c r="B1511">
        <v>9</v>
      </c>
      <c r="C1511" s="4">
        <v>50</v>
      </c>
      <c r="D1511" t="s">
        <v>11</v>
      </c>
      <c r="E1511" t="s">
        <v>17</v>
      </c>
      <c r="F1511">
        <v>2025</v>
      </c>
      <c r="G1511" s="4">
        <v>25</v>
      </c>
      <c r="H1511">
        <v>172</v>
      </c>
      <c r="I1511">
        <f t="shared" si="23"/>
        <v>0</v>
      </c>
    </row>
    <row r="1512" spans="1:9" x14ac:dyDescent="0.3">
      <c r="A1512">
        <v>30</v>
      </c>
      <c r="B1512">
        <v>9</v>
      </c>
      <c r="C1512" s="4">
        <v>49</v>
      </c>
      <c r="D1512" t="s">
        <v>11</v>
      </c>
      <c r="E1512" t="s">
        <v>17</v>
      </c>
      <c r="F1512">
        <v>2025</v>
      </c>
      <c r="G1512" s="4">
        <v>24.5</v>
      </c>
      <c r="H1512">
        <v>172</v>
      </c>
      <c r="I1512">
        <f t="shared" si="23"/>
        <v>0</v>
      </c>
    </row>
    <row r="1513" spans="1:9" x14ac:dyDescent="0.3">
      <c r="A1513">
        <v>31</v>
      </c>
      <c r="B1513">
        <v>9</v>
      </c>
      <c r="C1513" s="4">
        <v>48</v>
      </c>
      <c r="D1513" t="s">
        <v>11</v>
      </c>
      <c r="E1513" t="s">
        <v>17</v>
      </c>
      <c r="F1513">
        <v>2025</v>
      </c>
      <c r="G1513" s="4">
        <v>24</v>
      </c>
      <c r="H1513">
        <v>172</v>
      </c>
      <c r="I1513">
        <f t="shared" si="23"/>
        <v>0</v>
      </c>
    </row>
    <row r="1514" spans="1:9" x14ac:dyDescent="0.3">
      <c r="A1514">
        <v>32</v>
      </c>
      <c r="B1514">
        <v>9</v>
      </c>
      <c r="C1514" s="4">
        <v>46</v>
      </c>
      <c r="D1514" t="s">
        <v>11</v>
      </c>
      <c r="E1514" t="s">
        <v>17</v>
      </c>
      <c r="F1514">
        <v>2025</v>
      </c>
      <c r="G1514" s="4">
        <v>23</v>
      </c>
      <c r="H1514">
        <v>172</v>
      </c>
      <c r="I1514">
        <f t="shared" si="23"/>
        <v>0</v>
      </c>
    </row>
    <row r="1515" spans="1:9" x14ac:dyDescent="0.3">
      <c r="A1515">
        <v>33</v>
      </c>
      <c r="B1515">
        <v>9</v>
      </c>
      <c r="C1515" s="4">
        <v>37</v>
      </c>
      <c r="D1515" t="s">
        <v>11</v>
      </c>
      <c r="E1515" t="s">
        <v>17</v>
      </c>
      <c r="F1515">
        <v>2025</v>
      </c>
      <c r="G1515" s="4">
        <v>18.5</v>
      </c>
      <c r="H1515">
        <v>172</v>
      </c>
      <c r="I1515">
        <f t="shared" si="23"/>
        <v>0</v>
      </c>
    </row>
    <row r="1516" spans="1:9" x14ac:dyDescent="0.3">
      <c r="A1516">
        <v>34</v>
      </c>
      <c r="B1516">
        <v>9</v>
      </c>
      <c r="C1516" s="4">
        <v>36</v>
      </c>
      <c r="D1516" t="s">
        <v>11</v>
      </c>
      <c r="E1516" t="s">
        <v>17</v>
      </c>
      <c r="F1516">
        <v>2025</v>
      </c>
      <c r="G1516" s="4">
        <v>18</v>
      </c>
      <c r="H1516">
        <v>172</v>
      </c>
      <c r="I1516">
        <f t="shared" si="23"/>
        <v>0</v>
      </c>
    </row>
    <row r="1517" spans="1:9" x14ac:dyDescent="0.3">
      <c r="A1517">
        <v>35</v>
      </c>
      <c r="B1517">
        <v>9</v>
      </c>
      <c r="C1517" s="4">
        <v>35</v>
      </c>
      <c r="D1517" t="s">
        <v>11</v>
      </c>
      <c r="E1517" t="s">
        <v>17</v>
      </c>
      <c r="F1517">
        <v>2025</v>
      </c>
      <c r="G1517" s="4">
        <v>17.5</v>
      </c>
      <c r="H1517">
        <v>172</v>
      </c>
      <c r="I1517">
        <f t="shared" si="23"/>
        <v>0</v>
      </c>
    </row>
    <row r="1518" spans="1:9" x14ac:dyDescent="0.3">
      <c r="A1518">
        <v>36</v>
      </c>
      <c r="B1518">
        <v>9</v>
      </c>
      <c r="C1518" s="4">
        <v>29</v>
      </c>
      <c r="D1518" t="s">
        <v>11</v>
      </c>
      <c r="E1518" t="s">
        <v>17</v>
      </c>
      <c r="F1518">
        <v>2025</v>
      </c>
      <c r="G1518" s="4">
        <v>14.5</v>
      </c>
      <c r="H1518">
        <v>172</v>
      </c>
      <c r="I1518">
        <f t="shared" si="23"/>
        <v>0</v>
      </c>
    </row>
    <row r="1519" spans="1:9" x14ac:dyDescent="0.3">
      <c r="A1519">
        <v>1</v>
      </c>
      <c r="B1519">
        <v>10</v>
      </c>
      <c r="C1519" s="4">
        <v>156</v>
      </c>
      <c r="D1519" t="s">
        <v>8</v>
      </c>
      <c r="E1519" t="s">
        <v>17</v>
      </c>
      <c r="F1519">
        <v>2025</v>
      </c>
      <c r="G1519" s="4">
        <v>78</v>
      </c>
      <c r="H1519">
        <v>182</v>
      </c>
      <c r="I1519">
        <f t="shared" si="23"/>
        <v>0</v>
      </c>
    </row>
    <row r="1520" spans="1:9" x14ac:dyDescent="0.3">
      <c r="A1520">
        <v>2</v>
      </c>
      <c r="B1520">
        <v>10</v>
      </c>
      <c r="C1520" s="4">
        <v>138</v>
      </c>
      <c r="D1520" t="s">
        <v>8</v>
      </c>
      <c r="E1520" t="s">
        <v>17</v>
      </c>
      <c r="F1520">
        <v>2025</v>
      </c>
      <c r="G1520" s="4">
        <v>69</v>
      </c>
      <c r="H1520">
        <v>182</v>
      </c>
      <c r="I1520">
        <f t="shared" si="23"/>
        <v>0</v>
      </c>
    </row>
    <row r="1521" spans="1:9" x14ac:dyDescent="0.3">
      <c r="A1521">
        <v>3</v>
      </c>
      <c r="B1521">
        <v>10</v>
      </c>
      <c r="C1521" s="4">
        <v>126</v>
      </c>
      <c r="D1521" t="s">
        <v>8</v>
      </c>
      <c r="E1521" t="s">
        <v>17</v>
      </c>
      <c r="F1521">
        <v>2025</v>
      </c>
      <c r="G1521" s="4">
        <v>63</v>
      </c>
      <c r="H1521">
        <v>182</v>
      </c>
      <c r="I1521">
        <f t="shared" si="23"/>
        <v>0</v>
      </c>
    </row>
    <row r="1522" spans="1:9" x14ac:dyDescent="0.3">
      <c r="A1522">
        <v>4</v>
      </c>
      <c r="B1522">
        <v>10</v>
      </c>
      <c r="C1522" s="4">
        <v>119</v>
      </c>
      <c r="D1522" t="s">
        <v>12</v>
      </c>
      <c r="E1522" t="s">
        <v>17</v>
      </c>
      <c r="F1522">
        <v>2025</v>
      </c>
      <c r="G1522" s="4">
        <v>59.5</v>
      </c>
      <c r="H1522">
        <v>182</v>
      </c>
      <c r="I1522">
        <f t="shared" si="23"/>
        <v>0</v>
      </c>
    </row>
    <row r="1523" spans="1:9" x14ac:dyDescent="0.3">
      <c r="A1523">
        <v>5</v>
      </c>
      <c r="B1523">
        <v>10</v>
      </c>
      <c r="C1523" s="4">
        <v>119</v>
      </c>
      <c r="D1523" t="s">
        <v>12</v>
      </c>
      <c r="E1523" t="s">
        <v>17</v>
      </c>
      <c r="F1523">
        <v>2025</v>
      </c>
      <c r="G1523" s="4">
        <v>59.5</v>
      </c>
      <c r="H1523">
        <v>182</v>
      </c>
      <c r="I1523">
        <f t="shared" si="23"/>
        <v>0</v>
      </c>
    </row>
    <row r="1524" spans="1:9" x14ac:dyDescent="0.3">
      <c r="A1524">
        <v>6</v>
      </c>
      <c r="B1524">
        <v>10</v>
      </c>
      <c r="C1524" s="4">
        <v>115</v>
      </c>
      <c r="D1524" t="s">
        <v>12</v>
      </c>
      <c r="E1524" t="s">
        <v>17</v>
      </c>
      <c r="F1524">
        <v>2025</v>
      </c>
      <c r="G1524" s="4">
        <v>57.499999999999993</v>
      </c>
      <c r="H1524">
        <v>182</v>
      </c>
      <c r="I1524">
        <f t="shared" si="23"/>
        <v>0</v>
      </c>
    </row>
    <row r="1525" spans="1:9" x14ac:dyDescent="0.3">
      <c r="A1525">
        <v>7</v>
      </c>
      <c r="B1525">
        <v>10</v>
      </c>
      <c r="C1525" s="4">
        <v>112</v>
      </c>
      <c r="D1525" t="s">
        <v>12</v>
      </c>
      <c r="E1525" t="s">
        <v>17</v>
      </c>
      <c r="F1525">
        <v>2025</v>
      </c>
      <c r="G1525" s="4">
        <v>56.000000000000007</v>
      </c>
      <c r="H1525">
        <v>182</v>
      </c>
      <c r="I1525">
        <f t="shared" si="23"/>
        <v>0</v>
      </c>
    </row>
    <row r="1526" spans="1:9" x14ac:dyDescent="0.3">
      <c r="A1526">
        <v>8</v>
      </c>
      <c r="B1526">
        <v>10</v>
      </c>
      <c r="C1526" s="4">
        <v>108</v>
      </c>
      <c r="D1526" t="s">
        <v>12</v>
      </c>
      <c r="E1526" t="s">
        <v>17</v>
      </c>
      <c r="F1526">
        <v>2025</v>
      </c>
      <c r="G1526" s="4">
        <v>54</v>
      </c>
      <c r="H1526">
        <v>182</v>
      </c>
      <c r="I1526">
        <f t="shared" si="23"/>
        <v>0</v>
      </c>
    </row>
    <row r="1527" spans="1:9" x14ac:dyDescent="0.3">
      <c r="A1527">
        <v>9</v>
      </c>
      <c r="B1527">
        <v>10</v>
      </c>
      <c r="C1527" s="4">
        <v>103</v>
      </c>
      <c r="D1527" t="s">
        <v>12</v>
      </c>
      <c r="E1527" t="s">
        <v>17</v>
      </c>
      <c r="F1527">
        <v>2025</v>
      </c>
      <c r="G1527" s="4">
        <v>51.5</v>
      </c>
      <c r="H1527">
        <v>182</v>
      </c>
      <c r="I1527">
        <f t="shared" si="23"/>
        <v>0</v>
      </c>
    </row>
    <row r="1528" spans="1:9" x14ac:dyDescent="0.3">
      <c r="A1528">
        <v>10</v>
      </c>
      <c r="B1528">
        <v>10</v>
      </c>
      <c r="C1528" s="4">
        <v>102</v>
      </c>
      <c r="D1528" t="s">
        <v>12</v>
      </c>
      <c r="E1528" t="s">
        <v>17</v>
      </c>
      <c r="F1528">
        <v>2025</v>
      </c>
      <c r="G1528" s="4">
        <v>51</v>
      </c>
      <c r="H1528">
        <v>182</v>
      </c>
      <c r="I1528">
        <f t="shared" si="23"/>
        <v>0</v>
      </c>
    </row>
    <row r="1529" spans="1:9" x14ac:dyDescent="0.3">
      <c r="A1529">
        <v>11</v>
      </c>
      <c r="B1529">
        <v>10</v>
      </c>
      <c r="C1529" s="4">
        <v>101</v>
      </c>
      <c r="D1529" t="s">
        <v>12</v>
      </c>
      <c r="E1529" t="s">
        <v>17</v>
      </c>
      <c r="F1529">
        <v>2025</v>
      </c>
      <c r="G1529" s="4">
        <v>50.5</v>
      </c>
      <c r="H1529">
        <v>182</v>
      </c>
      <c r="I1529">
        <f t="shared" si="23"/>
        <v>0</v>
      </c>
    </row>
    <row r="1530" spans="1:9" x14ac:dyDescent="0.3">
      <c r="A1530">
        <v>12</v>
      </c>
      <c r="B1530">
        <v>10</v>
      </c>
      <c r="C1530" s="4">
        <v>98</v>
      </c>
      <c r="D1530" t="s">
        <v>12</v>
      </c>
      <c r="E1530" t="s">
        <v>17</v>
      </c>
      <c r="F1530">
        <v>2025</v>
      </c>
      <c r="G1530" s="4">
        <v>49</v>
      </c>
      <c r="H1530">
        <v>182</v>
      </c>
      <c r="I1530">
        <f t="shared" si="23"/>
        <v>0</v>
      </c>
    </row>
    <row r="1531" spans="1:9" x14ac:dyDescent="0.3">
      <c r="A1531">
        <v>13</v>
      </c>
      <c r="B1531">
        <v>10</v>
      </c>
      <c r="C1531" s="4">
        <v>97</v>
      </c>
      <c r="D1531" t="s">
        <v>12</v>
      </c>
      <c r="E1531" t="s">
        <v>17</v>
      </c>
      <c r="F1531">
        <v>2025</v>
      </c>
      <c r="G1531" s="4">
        <v>48.5</v>
      </c>
      <c r="H1531">
        <v>182</v>
      </c>
      <c r="I1531">
        <f t="shared" si="23"/>
        <v>0</v>
      </c>
    </row>
    <row r="1532" spans="1:9" x14ac:dyDescent="0.3">
      <c r="A1532">
        <v>14</v>
      </c>
      <c r="B1532">
        <v>10</v>
      </c>
      <c r="C1532" s="4">
        <v>94</v>
      </c>
      <c r="D1532" t="s">
        <v>12</v>
      </c>
      <c r="E1532" t="s">
        <v>17</v>
      </c>
      <c r="F1532">
        <v>2025</v>
      </c>
      <c r="G1532" s="4">
        <v>47</v>
      </c>
      <c r="H1532">
        <v>182</v>
      </c>
      <c r="I1532">
        <f t="shared" si="23"/>
        <v>0</v>
      </c>
    </row>
    <row r="1533" spans="1:9" x14ac:dyDescent="0.3">
      <c r="A1533">
        <v>15</v>
      </c>
      <c r="B1533">
        <v>10</v>
      </c>
      <c r="C1533" s="4">
        <v>94</v>
      </c>
      <c r="D1533" t="s">
        <v>12</v>
      </c>
      <c r="E1533" t="s">
        <v>17</v>
      </c>
      <c r="F1533">
        <v>2025</v>
      </c>
      <c r="G1533" s="4">
        <v>47</v>
      </c>
      <c r="H1533">
        <v>182</v>
      </c>
      <c r="I1533">
        <f t="shared" si="23"/>
        <v>0</v>
      </c>
    </row>
    <row r="1534" spans="1:9" x14ac:dyDescent="0.3">
      <c r="A1534">
        <v>16</v>
      </c>
      <c r="B1534">
        <v>10</v>
      </c>
      <c r="C1534" s="4">
        <v>93</v>
      </c>
      <c r="D1534" t="s">
        <v>12</v>
      </c>
      <c r="E1534" t="s">
        <v>17</v>
      </c>
      <c r="F1534">
        <v>2025</v>
      </c>
      <c r="G1534" s="4">
        <v>46.5</v>
      </c>
      <c r="H1534">
        <v>182</v>
      </c>
      <c r="I1534">
        <f t="shared" si="23"/>
        <v>0</v>
      </c>
    </row>
    <row r="1535" spans="1:9" x14ac:dyDescent="0.3">
      <c r="A1535">
        <v>17</v>
      </c>
      <c r="B1535">
        <v>10</v>
      </c>
      <c r="C1535" s="4">
        <v>92</v>
      </c>
      <c r="D1535" t="s">
        <v>12</v>
      </c>
      <c r="E1535" t="s">
        <v>17</v>
      </c>
      <c r="F1535">
        <v>2025</v>
      </c>
      <c r="G1535" s="4">
        <v>46</v>
      </c>
      <c r="H1535">
        <v>182</v>
      </c>
      <c r="I1535">
        <f t="shared" si="23"/>
        <v>0</v>
      </c>
    </row>
    <row r="1536" spans="1:9" x14ac:dyDescent="0.3">
      <c r="A1536">
        <v>18</v>
      </c>
      <c r="B1536">
        <v>10</v>
      </c>
      <c r="C1536" s="4">
        <v>85</v>
      </c>
      <c r="D1536" t="s">
        <v>11</v>
      </c>
      <c r="E1536" t="s">
        <v>17</v>
      </c>
      <c r="F1536">
        <v>2025</v>
      </c>
      <c r="G1536" s="4">
        <v>42.5</v>
      </c>
      <c r="H1536">
        <v>182</v>
      </c>
      <c r="I1536">
        <f t="shared" si="23"/>
        <v>0</v>
      </c>
    </row>
    <row r="1537" spans="1:9" x14ac:dyDescent="0.3">
      <c r="A1537">
        <v>19</v>
      </c>
      <c r="B1537">
        <v>10</v>
      </c>
      <c r="C1537" s="4">
        <v>84</v>
      </c>
      <c r="D1537" t="s">
        <v>11</v>
      </c>
      <c r="E1537" t="s">
        <v>17</v>
      </c>
      <c r="F1537">
        <v>2025</v>
      </c>
      <c r="G1537" s="4">
        <v>42</v>
      </c>
      <c r="H1537">
        <v>182</v>
      </c>
      <c r="I1537">
        <f t="shared" si="23"/>
        <v>0</v>
      </c>
    </row>
    <row r="1538" spans="1:9" x14ac:dyDescent="0.3">
      <c r="A1538">
        <v>20</v>
      </c>
      <c r="B1538">
        <v>10</v>
      </c>
      <c r="C1538" s="4">
        <v>81</v>
      </c>
      <c r="D1538" t="s">
        <v>11</v>
      </c>
      <c r="E1538" t="s">
        <v>17</v>
      </c>
      <c r="F1538">
        <v>2025</v>
      </c>
      <c r="G1538" s="4">
        <v>40.5</v>
      </c>
      <c r="H1538">
        <v>182</v>
      </c>
      <c r="I1538">
        <f t="shared" si="23"/>
        <v>0</v>
      </c>
    </row>
    <row r="1539" spans="1:9" x14ac:dyDescent="0.3">
      <c r="A1539">
        <v>21</v>
      </c>
      <c r="B1539">
        <v>10</v>
      </c>
      <c r="C1539" s="4">
        <v>80</v>
      </c>
      <c r="D1539" t="s">
        <v>11</v>
      </c>
      <c r="E1539" t="s">
        <v>17</v>
      </c>
      <c r="F1539">
        <v>2025</v>
      </c>
      <c r="G1539" s="4">
        <v>40</v>
      </c>
      <c r="H1539">
        <v>182</v>
      </c>
      <c r="I1539">
        <f t="shared" ref="I1539:I1601" si="24">IF(C1539&gt;=H1539,1,0)</f>
        <v>0</v>
      </c>
    </row>
    <row r="1540" spans="1:9" x14ac:dyDescent="0.3">
      <c r="A1540">
        <v>22</v>
      </c>
      <c r="B1540">
        <v>10</v>
      </c>
      <c r="C1540" s="4">
        <v>78</v>
      </c>
      <c r="D1540" t="s">
        <v>11</v>
      </c>
      <c r="E1540" t="s">
        <v>17</v>
      </c>
      <c r="F1540">
        <v>2025</v>
      </c>
      <c r="G1540" s="4">
        <v>39</v>
      </c>
      <c r="H1540">
        <v>182</v>
      </c>
      <c r="I1540">
        <f t="shared" si="24"/>
        <v>0</v>
      </c>
    </row>
    <row r="1541" spans="1:9" x14ac:dyDescent="0.3">
      <c r="A1541">
        <v>23</v>
      </c>
      <c r="B1541">
        <v>10</v>
      </c>
      <c r="C1541" s="4">
        <v>77</v>
      </c>
      <c r="D1541" t="s">
        <v>11</v>
      </c>
      <c r="E1541" t="s">
        <v>17</v>
      </c>
      <c r="F1541">
        <v>2025</v>
      </c>
      <c r="G1541" s="4">
        <v>38.5</v>
      </c>
      <c r="H1541">
        <v>182</v>
      </c>
      <c r="I1541">
        <f t="shared" si="24"/>
        <v>0</v>
      </c>
    </row>
    <row r="1542" spans="1:9" x14ac:dyDescent="0.3">
      <c r="A1542">
        <v>24</v>
      </c>
      <c r="B1542">
        <v>10</v>
      </c>
      <c r="C1542" s="4">
        <v>77</v>
      </c>
      <c r="D1542" t="s">
        <v>11</v>
      </c>
      <c r="E1542" t="s">
        <v>17</v>
      </c>
      <c r="F1542">
        <v>2025</v>
      </c>
      <c r="G1542" s="4">
        <v>38.5</v>
      </c>
      <c r="H1542">
        <v>182</v>
      </c>
      <c r="I1542">
        <f t="shared" si="24"/>
        <v>0</v>
      </c>
    </row>
    <row r="1543" spans="1:9" x14ac:dyDescent="0.3">
      <c r="A1543">
        <v>25</v>
      </c>
      <c r="B1543">
        <v>10</v>
      </c>
      <c r="C1543" s="4">
        <v>77</v>
      </c>
      <c r="D1543" t="s">
        <v>11</v>
      </c>
      <c r="E1543" t="s">
        <v>17</v>
      </c>
      <c r="F1543">
        <v>2025</v>
      </c>
      <c r="G1543" s="4">
        <v>38.5</v>
      </c>
      <c r="H1543">
        <v>182</v>
      </c>
      <c r="I1543">
        <f t="shared" si="24"/>
        <v>0</v>
      </c>
    </row>
    <row r="1544" spans="1:9" x14ac:dyDescent="0.3">
      <c r="A1544">
        <v>26</v>
      </c>
      <c r="B1544">
        <v>10</v>
      </c>
      <c r="C1544" s="4">
        <v>71</v>
      </c>
      <c r="D1544" t="s">
        <v>11</v>
      </c>
      <c r="E1544" t="s">
        <v>17</v>
      </c>
      <c r="F1544">
        <v>2025</v>
      </c>
      <c r="G1544" s="4">
        <v>35.5</v>
      </c>
      <c r="H1544">
        <v>182</v>
      </c>
      <c r="I1544">
        <f t="shared" si="24"/>
        <v>0</v>
      </c>
    </row>
    <row r="1545" spans="1:9" x14ac:dyDescent="0.3">
      <c r="A1545">
        <v>27</v>
      </c>
      <c r="B1545">
        <v>10</v>
      </c>
      <c r="C1545" s="4">
        <v>68</v>
      </c>
      <c r="D1545" t="s">
        <v>11</v>
      </c>
      <c r="E1545" t="s">
        <v>17</v>
      </c>
      <c r="F1545">
        <v>2025</v>
      </c>
      <c r="G1545" s="4">
        <v>34</v>
      </c>
      <c r="H1545">
        <v>182</v>
      </c>
      <c r="I1545">
        <f t="shared" si="24"/>
        <v>0</v>
      </c>
    </row>
    <row r="1546" spans="1:9" x14ac:dyDescent="0.3">
      <c r="A1546">
        <v>28</v>
      </c>
      <c r="B1546">
        <v>10</v>
      </c>
      <c r="C1546" s="4">
        <v>68</v>
      </c>
      <c r="D1546" t="s">
        <v>11</v>
      </c>
      <c r="E1546" t="s">
        <v>17</v>
      </c>
      <c r="F1546">
        <v>2025</v>
      </c>
      <c r="G1546" s="4">
        <v>34</v>
      </c>
      <c r="H1546">
        <v>182</v>
      </c>
      <c r="I1546">
        <f t="shared" si="24"/>
        <v>0</v>
      </c>
    </row>
    <row r="1547" spans="1:9" x14ac:dyDescent="0.3">
      <c r="A1547">
        <v>29</v>
      </c>
      <c r="B1547">
        <v>10</v>
      </c>
      <c r="C1547" s="4">
        <v>68</v>
      </c>
      <c r="D1547" t="s">
        <v>11</v>
      </c>
      <c r="E1547" t="s">
        <v>17</v>
      </c>
      <c r="F1547">
        <v>2025</v>
      </c>
      <c r="G1547" s="4">
        <v>34</v>
      </c>
      <c r="H1547">
        <v>182</v>
      </c>
      <c r="I1547">
        <f t="shared" si="24"/>
        <v>0</v>
      </c>
    </row>
    <row r="1548" spans="1:9" x14ac:dyDescent="0.3">
      <c r="A1548">
        <v>30</v>
      </c>
      <c r="B1548">
        <v>10</v>
      </c>
      <c r="C1548" s="4">
        <v>64</v>
      </c>
      <c r="D1548" t="s">
        <v>11</v>
      </c>
      <c r="E1548" t="s">
        <v>17</v>
      </c>
      <c r="F1548">
        <v>2025</v>
      </c>
      <c r="G1548" s="4">
        <v>32</v>
      </c>
      <c r="H1548">
        <v>182</v>
      </c>
      <c r="I1548">
        <f t="shared" si="24"/>
        <v>0</v>
      </c>
    </row>
    <row r="1549" spans="1:9" x14ac:dyDescent="0.3">
      <c r="A1549">
        <v>31</v>
      </c>
      <c r="B1549">
        <v>10</v>
      </c>
      <c r="C1549" s="4">
        <v>64</v>
      </c>
      <c r="D1549" t="s">
        <v>11</v>
      </c>
      <c r="E1549" t="s">
        <v>17</v>
      </c>
      <c r="F1549">
        <v>2025</v>
      </c>
      <c r="G1549" s="4">
        <v>32</v>
      </c>
      <c r="H1549">
        <v>182</v>
      </c>
      <c r="I1549">
        <f t="shared" si="24"/>
        <v>0</v>
      </c>
    </row>
    <row r="1550" spans="1:9" x14ac:dyDescent="0.3">
      <c r="A1550">
        <v>32</v>
      </c>
      <c r="B1550">
        <v>10</v>
      </c>
      <c r="C1550" s="4">
        <v>63</v>
      </c>
      <c r="D1550" t="s">
        <v>11</v>
      </c>
      <c r="E1550" t="s">
        <v>17</v>
      </c>
      <c r="F1550">
        <v>2025</v>
      </c>
      <c r="G1550" s="4">
        <v>31.5</v>
      </c>
      <c r="H1550">
        <v>182</v>
      </c>
      <c r="I1550">
        <f t="shared" si="24"/>
        <v>0</v>
      </c>
    </row>
    <row r="1551" spans="1:9" x14ac:dyDescent="0.3">
      <c r="A1551">
        <v>33</v>
      </c>
      <c r="B1551">
        <v>10</v>
      </c>
      <c r="C1551" s="4">
        <v>59</v>
      </c>
      <c r="D1551" t="s">
        <v>11</v>
      </c>
      <c r="E1551" t="s">
        <v>17</v>
      </c>
      <c r="F1551">
        <v>2025</v>
      </c>
      <c r="G1551" s="4">
        <v>29.5</v>
      </c>
      <c r="H1551">
        <v>182</v>
      </c>
      <c r="I1551">
        <f t="shared" si="24"/>
        <v>0</v>
      </c>
    </row>
    <row r="1552" spans="1:9" x14ac:dyDescent="0.3">
      <c r="A1552">
        <v>34</v>
      </c>
      <c r="B1552">
        <v>10</v>
      </c>
      <c r="C1552" s="4">
        <v>59</v>
      </c>
      <c r="D1552" t="s">
        <v>11</v>
      </c>
      <c r="E1552" t="s">
        <v>17</v>
      </c>
      <c r="F1552">
        <v>2025</v>
      </c>
      <c r="G1552" s="4">
        <v>29.5</v>
      </c>
      <c r="H1552">
        <v>182</v>
      </c>
      <c r="I1552">
        <f t="shared" si="24"/>
        <v>0</v>
      </c>
    </row>
    <row r="1553" spans="1:9" x14ac:dyDescent="0.3">
      <c r="A1553">
        <v>35</v>
      </c>
      <c r="B1553">
        <v>10</v>
      </c>
      <c r="C1553" s="4">
        <v>54</v>
      </c>
      <c r="D1553" t="s">
        <v>11</v>
      </c>
      <c r="E1553" t="s">
        <v>17</v>
      </c>
      <c r="F1553">
        <v>2025</v>
      </c>
      <c r="G1553" s="4">
        <v>27</v>
      </c>
      <c r="H1553">
        <v>182</v>
      </c>
      <c r="I1553">
        <f t="shared" si="24"/>
        <v>0</v>
      </c>
    </row>
    <row r="1554" spans="1:9" x14ac:dyDescent="0.3">
      <c r="A1554">
        <v>36</v>
      </c>
      <c r="B1554">
        <v>10</v>
      </c>
      <c r="C1554" s="4">
        <v>51</v>
      </c>
      <c r="D1554" t="s">
        <v>11</v>
      </c>
      <c r="E1554" t="s">
        <v>17</v>
      </c>
      <c r="F1554">
        <v>2025</v>
      </c>
      <c r="G1554" s="4">
        <v>25.5</v>
      </c>
      <c r="H1554">
        <v>182</v>
      </c>
      <c r="I1554">
        <f t="shared" si="24"/>
        <v>0</v>
      </c>
    </row>
    <row r="1555" spans="1:9" x14ac:dyDescent="0.3">
      <c r="A1555">
        <v>37</v>
      </c>
      <c r="B1555">
        <v>10</v>
      </c>
      <c r="C1555" s="4">
        <v>51</v>
      </c>
      <c r="D1555" t="s">
        <v>11</v>
      </c>
      <c r="E1555" t="s">
        <v>17</v>
      </c>
      <c r="F1555">
        <v>2025</v>
      </c>
      <c r="G1555" s="4">
        <v>25.5</v>
      </c>
      <c r="H1555">
        <v>182</v>
      </c>
      <c r="I1555">
        <f t="shared" si="24"/>
        <v>0</v>
      </c>
    </row>
    <row r="1556" spans="1:9" x14ac:dyDescent="0.3">
      <c r="A1556">
        <v>38</v>
      </c>
      <c r="B1556">
        <v>10</v>
      </c>
      <c r="C1556" s="4">
        <v>47</v>
      </c>
      <c r="D1556" t="s">
        <v>11</v>
      </c>
      <c r="E1556" t="s">
        <v>17</v>
      </c>
      <c r="F1556">
        <v>2025</v>
      </c>
      <c r="G1556" s="4">
        <v>23.5</v>
      </c>
      <c r="H1556">
        <v>182</v>
      </c>
      <c r="I1556">
        <f t="shared" si="24"/>
        <v>0</v>
      </c>
    </row>
    <row r="1557" spans="1:9" x14ac:dyDescent="0.3">
      <c r="A1557">
        <v>39</v>
      </c>
      <c r="B1557">
        <v>10</v>
      </c>
      <c r="C1557" s="4">
        <v>43</v>
      </c>
      <c r="D1557" t="s">
        <v>11</v>
      </c>
      <c r="E1557" t="s">
        <v>17</v>
      </c>
      <c r="F1557">
        <v>2025</v>
      </c>
      <c r="G1557" s="4">
        <v>21.5</v>
      </c>
      <c r="H1557">
        <v>182</v>
      </c>
      <c r="I1557">
        <f t="shared" si="24"/>
        <v>0</v>
      </c>
    </row>
    <row r="1558" spans="1:9" x14ac:dyDescent="0.3">
      <c r="A1558">
        <v>40</v>
      </c>
      <c r="B1558">
        <v>10</v>
      </c>
      <c r="C1558" s="4">
        <v>39</v>
      </c>
      <c r="D1558" t="s">
        <v>11</v>
      </c>
      <c r="E1558" t="s">
        <v>17</v>
      </c>
      <c r="F1558">
        <v>2025</v>
      </c>
      <c r="G1558" s="4">
        <v>19.5</v>
      </c>
      <c r="H1558">
        <v>182</v>
      </c>
      <c r="I1558">
        <f t="shared" si="24"/>
        <v>0</v>
      </c>
    </row>
    <row r="1559" spans="1:9" x14ac:dyDescent="0.3">
      <c r="A1559">
        <v>1</v>
      </c>
      <c r="B1559">
        <v>11</v>
      </c>
      <c r="C1559" s="4">
        <v>135</v>
      </c>
      <c r="D1559" t="s">
        <v>8</v>
      </c>
      <c r="E1559" t="s">
        <v>17</v>
      </c>
      <c r="F1559">
        <v>2025</v>
      </c>
      <c r="G1559" s="4">
        <v>67.5</v>
      </c>
      <c r="H1559">
        <v>188</v>
      </c>
      <c r="I1559">
        <f t="shared" si="24"/>
        <v>0</v>
      </c>
    </row>
    <row r="1560" spans="1:9" x14ac:dyDescent="0.3">
      <c r="A1560">
        <v>2</v>
      </c>
      <c r="B1560">
        <v>11</v>
      </c>
      <c r="C1560" s="4">
        <v>130</v>
      </c>
      <c r="D1560" t="s">
        <v>8</v>
      </c>
      <c r="E1560" t="s">
        <v>17</v>
      </c>
      <c r="F1560">
        <v>2025</v>
      </c>
      <c r="G1560" s="4">
        <v>65</v>
      </c>
      <c r="H1560">
        <v>188</v>
      </c>
      <c r="I1560">
        <f t="shared" si="24"/>
        <v>0</v>
      </c>
    </row>
    <row r="1561" spans="1:9" x14ac:dyDescent="0.3">
      <c r="A1561">
        <v>3</v>
      </c>
      <c r="B1561">
        <v>11</v>
      </c>
      <c r="C1561" s="4">
        <v>130</v>
      </c>
      <c r="D1561" t="s">
        <v>8</v>
      </c>
      <c r="E1561" t="s">
        <v>17</v>
      </c>
      <c r="F1561">
        <v>2025</v>
      </c>
      <c r="G1561" s="4">
        <v>65</v>
      </c>
      <c r="H1561">
        <v>188</v>
      </c>
      <c r="I1561">
        <f t="shared" si="24"/>
        <v>0</v>
      </c>
    </row>
    <row r="1562" spans="1:9" x14ac:dyDescent="0.3">
      <c r="A1562">
        <v>4</v>
      </c>
      <c r="B1562">
        <v>11</v>
      </c>
      <c r="C1562" s="4">
        <v>128</v>
      </c>
      <c r="D1562" t="s">
        <v>8</v>
      </c>
      <c r="E1562" t="s">
        <v>17</v>
      </c>
      <c r="F1562">
        <v>2025</v>
      </c>
      <c r="G1562" s="4">
        <v>64</v>
      </c>
      <c r="H1562">
        <v>188</v>
      </c>
      <c r="I1562">
        <f t="shared" si="24"/>
        <v>0</v>
      </c>
    </row>
    <row r="1563" spans="1:9" x14ac:dyDescent="0.3">
      <c r="A1563">
        <v>5</v>
      </c>
      <c r="B1563">
        <v>11</v>
      </c>
      <c r="C1563" s="4">
        <v>124</v>
      </c>
      <c r="D1563" t="s">
        <v>12</v>
      </c>
      <c r="E1563" t="s">
        <v>17</v>
      </c>
      <c r="F1563">
        <v>2025</v>
      </c>
      <c r="G1563" s="4">
        <v>62</v>
      </c>
      <c r="H1563">
        <v>188</v>
      </c>
      <c r="I1563">
        <f t="shared" si="24"/>
        <v>0</v>
      </c>
    </row>
    <row r="1564" spans="1:9" x14ac:dyDescent="0.3">
      <c r="A1564">
        <v>6</v>
      </c>
      <c r="B1564">
        <v>11</v>
      </c>
      <c r="C1564" s="4">
        <v>120</v>
      </c>
      <c r="D1564" t="s">
        <v>12</v>
      </c>
      <c r="E1564" t="s">
        <v>17</v>
      </c>
      <c r="F1564">
        <v>2025</v>
      </c>
      <c r="G1564" s="4">
        <v>60</v>
      </c>
      <c r="H1564">
        <v>188</v>
      </c>
      <c r="I1564">
        <f t="shared" si="24"/>
        <v>0</v>
      </c>
    </row>
    <row r="1565" spans="1:9" x14ac:dyDescent="0.3">
      <c r="A1565">
        <v>7</v>
      </c>
      <c r="B1565">
        <v>11</v>
      </c>
      <c r="C1565" s="4">
        <v>106</v>
      </c>
      <c r="D1565" t="s">
        <v>12</v>
      </c>
      <c r="E1565" t="s">
        <v>17</v>
      </c>
      <c r="F1565">
        <v>2025</v>
      </c>
      <c r="G1565" s="4">
        <v>53</v>
      </c>
      <c r="H1565">
        <v>188</v>
      </c>
      <c r="I1565">
        <f t="shared" si="24"/>
        <v>0</v>
      </c>
    </row>
    <row r="1566" spans="1:9" x14ac:dyDescent="0.3">
      <c r="A1566">
        <v>8</v>
      </c>
      <c r="B1566">
        <v>11</v>
      </c>
      <c r="C1566" s="4">
        <v>105</v>
      </c>
      <c r="D1566" t="s">
        <v>12</v>
      </c>
      <c r="E1566" t="s">
        <v>17</v>
      </c>
      <c r="F1566">
        <v>2025</v>
      </c>
      <c r="G1566" s="4">
        <v>52.5</v>
      </c>
      <c r="H1566">
        <v>188</v>
      </c>
      <c r="I1566">
        <f t="shared" si="24"/>
        <v>0</v>
      </c>
    </row>
    <row r="1567" spans="1:9" x14ac:dyDescent="0.3">
      <c r="A1567">
        <v>9</v>
      </c>
      <c r="B1567">
        <v>11</v>
      </c>
      <c r="C1567" s="4">
        <v>104</v>
      </c>
      <c r="D1567" t="s">
        <v>12</v>
      </c>
      <c r="E1567" t="s">
        <v>17</v>
      </c>
      <c r="F1567">
        <v>2025</v>
      </c>
      <c r="G1567" s="4">
        <v>52</v>
      </c>
      <c r="H1567">
        <v>188</v>
      </c>
      <c r="I1567">
        <f t="shared" si="24"/>
        <v>0</v>
      </c>
    </row>
    <row r="1568" spans="1:9" x14ac:dyDescent="0.3">
      <c r="A1568">
        <v>10</v>
      </c>
      <c r="B1568">
        <v>11</v>
      </c>
      <c r="C1568" s="4">
        <v>104</v>
      </c>
      <c r="D1568" t="s">
        <v>12</v>
      </c>
      <c r="E1568" t="s">
        <v>17</v>
      </c>
      <c r="F1568">
        <v>2025</v>
      </c>
      <c r="G1568" s="4">
        <v>52</v>
      </c>
      <c r="H1568">
        <v>188</v>
      </c>
      <c r="I1568">
        <f t="shared" si="24"/>
        <v>0</v>
      </c>
    </row>
    <row r="1569" spans="1:9" x14ac:dyDescent="0.3">
      <c r="A1569">
        <v>11</v>
      </c>
      <c r="B1569">
        <v>11</v>
      </c>
      <c r="C1569" s="4">
        <v>103</v>
      </c>
      <c r="D1569" t="s">
        <v>12</v>
      </c>
      <c r="E1569" t="s">
        <v>17</v>
      </c>
      <c r="F1569">
        <v>2025</v>
      </c>
      <c r="G1569" s="4">
        <v>51.5</v>
      </c>
      <c r="H1569">
        <v>188</v>
      </c>
      <c r="I1569">
        <f t="shared" si="24"/>
        <v>0</v>
      </c>
    </row>
    <row r="1570" spans="1:9" x14ac:dyDescent="0.3">
      <c r="A1570">
        <v>12</v>
      </c>
      <c r="B1570">
        <v>11</v>
      </c>
      <c r="C1570" s="4">
        <v>103</v>
      </c>
      <c r="D1570" t="s">
        <v>12</v>
      </c>
      <c r="E1570" t="s">
        <v>17</v>
      </c>
      <c r="F1570">
        <v>2025</v>
      </c>
      <c r="G1570" s="4">
        <v>51.5</v>
      </c>
      <c r="H1570">
        <v>188</v>
      </c>
      <c r="I1570">
        <f t="shared" si="24"/>
        <v>0</v>
      </c>
    </row>
    <row r="1571" spans="1:9" x14ac:dyDescent="0.3">
      <c r="A1571">
        <v>13</v>
      </c>
      <c r="B1571">
        <v>11</v>
      </c>
      <c r="C1571" s="4">
        <v>103</v>
      </c>
      <c r="D1571" t="s">
        <v>12</v>
      </c>
      <c r="E1571" t="s">
        <v>17</v>
      </c>
      <c r="F1571">
        <v>2025</v>
      </c>
      <c r="G1571" s="4">
        <v>51.5</v>
      </c>
      <c r="H1571">
        <v>188</v>
      </c>
      <c r="I1571">
        <f t="shared" si="24"/>
        <v>0</v>
      </c>
    </row>
    <row r="1572" spans="1:9" x14ac:dyDescent="0.3">
      <c r="A1572">
        <v>14</v>
      </c>
      <c r="B1572">
        <v>11</v>
      </c>
      <c r="C1572" s="4">
        <v>101</v>
      </c>
      <c r="D1572" t="s">
        <v>12</v>
      </c>
      <c r="E1572" t="s">
        <v>17</v>
      </c>
      <c r="F1572">
        <v>2025</v>
      </c>
      <c r="G1572" s="4">
        <v>50.5</v>
      </c>
      <c r="H1572">
        <v>188</v>
      </c>
      <c r="I1572">
        <f t="shared" si="24"/>
        <v>0</v>
      </c>
    </row>
    <row r="1573" spans="1:9" x14ac:dyDescent="0.3">
      <c r="A1573">
        <v>15</v>
      </c>
      <c r="B1573">
        <v>11</v>
      </c>
      <c r="C1573" s="4">
        <v>101</v>
      </c>
      <c r="D1573" t="s">
        <v>12</v>
      </c>
      <c r="E1573" t="s">
        <v>17</v>
      </c>
      <c r="F1573">
        <v>2025</v>
      </c>
      <c r="G1573" s="4">
        <v>50.5</v>
      </c>
      <c r="H1573">
        <v>188</v>
      </c>
      <c r="I1573">
        <f t="shared" si="24"/>
        <v>0</v>
      </c>
    </row>
    <row r="1574" spans="1:9" x14ac:dyDescent="0.3">
      <c r="A1574">
        <v>16</v>
      </c>
      <c r="B1574">
        <v>11</v>
      </c>
      <c r="C1574" s="4">
        <v>99</v>
      </c>
      <c r="D1574" t="s">
        <v>12</v>
      </c>
      <c r="E1574" t="s">
        <v>17</v>
      </c>
      <c r="F1574">
        <v>2025</v>
      </c>
      <c r="G1574" s="4">
        <v>49.5</v>
      </c>
      <c r="H1574">
        <v>188</v>
      </c>
      <c r="I1574">
        <f t="shared" si="24"/>
        <v>0</v>
      </c>
    </row>
    <row r="1575" spans="1:9" x14ac:dyDescent="0.3">
      <c r="A1575">
        <v>17</v>
      </c>
      <c r="B1575">
        <v>11</v>
      </c>
      <c r="C1575" s="4">
        <v>99</v>
      </c>
      <c r="D1575" t="s">
        <v>12</v>
      </c>
      <c r="E1575" t="s">
        <v>17</v>
      </c>
      <c r="F1575">
        <v>2025</v>
      </c>
      <c r="G1575" s="4">
        <v>49.5</v>
      </c>
      <c r="H1575">
        <v>188</v>
      </c>
      <c r="I1575">
        <f t="shared" si="24"/>
        <v>0</v>
      </c>
    </row>
    <row r="1576" spans="1:9" x14ac:dyDescent="0.3">
      <c r="A1576">
        <v>18</v>
      </c>
      <c r="B1576">
        <v>11</v>
      </c>
      <c r="C1576" s="4">
        <v>98</v>
      </c>
      <c r="D1576" t="s">
        <v>12</v>
      </c>
      <c r="E1576" t="s">
        <v>17</v>
      </c>
      <c r="F1576">
        <v>2025</v>
      </c>
      <c r="G1576" s="4">
        <v>49</v>
      </c>
      <c r="H1576">
        <v>188</v>
      </c>
      <c r="I1576">
        <f t="shared" si="24"/>
        <v>0</v>
      </c>
    </row>
    <row r="1577" spans="1:9" x14ac:dyDescent="0.3">
      <c r="A1577">
        <v>19</v>
      </c>
      <c r="B1577">
        <v>11</v>
      </c>
      <c r="C1577" s="4">
        <v>98</v>
      </c>
      <c r="D1577" t="s">
        <v>12</v>
      </c>
      <c r="E1577" t="s">
        <v>17</v>
      </c>
      <c r="F1577">
        <v>2025</v>
      </c>
      <c r="G1577" s="4">
        <v>49</v>
      </c>
      <c r="H1577">
        <v>188</v>
      </c>
      <c r="I1577">
        <f t="shared" si="24"/>
        <v>0</v>
      </c>
    </row>
    <row r="1578" spans="1:9" x14ac:dyDescent="0.3">
      <c r="A1578">
        <v>20</v>
      </c>
      <c r="B1578">
        <v>11</v>
      </c>
      <c r="C1578" s="4">
        <v>97</v>
      </c>
      <c r="D1578" t="s">
        <v>11</v>
      </c>
      <c r="E1578" t="s">
        <v>17</v>
      </c>
      <c r="F1578">
        <v>2025</v>
      </c>
      <c r="G1578" s="4">
        <v>48.5</v>
      </c>
      <c r="H1578">
        <v>188</v>
      </c>
      <c r="I1578">
        <f t="shared" si="24"/>
        <v>0</v>
      </c>
    </row>
    <row r="1579" spans="1:9" x14ac:dyDescent="0.3">
      <c r="A1579">
        <v>21</v>
      </c>
      <c r="B1579">
        <v>11</v>
      </c>
      <c r="C1579" s="4">
        <v>97</v>
      </c>
      <c r="D1579" t="s">
        <v>11</v>
      </c>
      <c r="E1579" t="s">
        <v>17</v>
      </c>
      <c r="F1579">
        <v>2025</v>
      </c>
      <c r="G1579" s="4">
        <v>48.5</v>
      </c>
      <c r="H1579">
        <v>188</v>
      </c>
      <c r="I1579">
        <f t="shared" si="24"/>
        <v>0</v>
      </c>
    </row>
    <row r="1580" spans="1:9" x14ac:dyDescent="0.3">
      <c r="A1580">
        <v>22</v>
      </c>
      <c r="B1580">
        <v>11</v>
      </c>
      <c r="C1580" s="4">
        <v>96</v>
      </c>
      <c r="D1580" t="s">
        <v>11</v>
      </c>
      <c r="E1580" t="s">
        <v>17</v>
      </c>
      <c r="F1580">
        <v>2025</v>
      </c>
      <c r="G1580" s="4">
        <v>48</v>
      </c>
      <c r="H1580">
        <v>188</v>
      </c>
      <c r="I1580">
        <f t="shared" si="24"/>
        <v>0</v>
      </c>
    </row>
    <row r="1581" spans="1:9" x14ac:dyDescent="0.3">
      <c r="A1581">
        <v>23</v>
      </c>
      <c r="B1581">
        <v>11</v>
      </c>
      <c r="C1581" s="4">
        <v>96</v>
      </c>
      <c r="D1581" t="s">
        <v>11</v>
      </c>
      <c r="E1581" t="s">
        <v>17</v>
      </c>
      <c r="F1581">
        <v>2025</v>
      </c>
      <c r="G1581" s="4">
        <v>48</v>
      </c>
      <c r="H1581">
        <v>188</v>
      </c>
      <c r="I1581">
        <f t="shared" si="24"/>
        <v>0</v>
      </c>
    </row>
    <row r="1582" spans="1:9" x14ac:dyDescent="0.3">
      <c r="A1582">
        <v>24</v>
      </c>
      <c r="B1582">
        <v>11</v>
      </c>
      <c r="C1582" s="4">
        <v>92</v>
      </c>
      <c r="D1582" t="s">
        <v>11</v>
      </c>
      <c r="E1582" t="s">
        <v>17</v>
      </c>
      <c r="F1582">
        <v>2025</v>
      </c>
      <c r="G1582" s="4">
        <v>46</v>
      </c>
      <c r="H1582">
        <v>188</v>
      </c>
      <c r="I1582">
        <f t="shared" si="24"/>
        <v>0</v>
      </c>
    </row>
    <row r="1583" spans="1:9" x14ac:dyDescent="0.3">
      <c r="A1583">
        <v>25</v>
      </c>
      <c r="B1583">
        <v>11</v>
      </c>
      <c r="C1583" s="4">
        <v>90</v>
      </c>
      <c r="D1583" t="s">
        <v>11</v>
      </c>
      <c r="E1583" t="s">
        <v>17</v>
      </c>
      <c r="F1583">
        <v>2025</v>
      </c>
      <c r="G1583" s="4">
        <v>45</v>
      </c>
      <c r="H1583">
        <v>188</v>
      </c>
      <c r="I1583">
        <f t="shared" si="24"/>
        <v>0</v>
      </c>
    </row>
    <row r="1584" spans="1:9" x14ac:dyDescent="0.3">
      <c r="A1584">
        <v>26</v>
      </c>
      <c r="B1584">
        <v>11</v>
      </c>
      <c r="C1584" s="4">
        <v>88</v>
      </c>
      <c r="D1584" t="s">
        <v>11</v>
      </c>
      <c r="E1584" t="s">
        <v>17</v>
      </c>
      <c r="F1584">
        <v>2025</v>
      </c>
      <c r="G1584" s="4">
        <v>44</v>
      </c>
      <c r="H1584">
        <v>188</v>
      </c>
      <c r="I1584">
        <f t="shared" si="24"/>
        <v>0</v>
      </c>
    </row>
    <row r="1585" spans="1:9" x14ac:dyDescent="0.3">
      <c r="A1585">
        <v>27</v>
      </c>
      <c r="B1585">
        <v>11</v>
      </c>
      <c r="C1585" s="4">
        <v>87</v>
      </c>
      <c r="D1585" t="s">
        <v>11</v>
      </c>
      <c r="E1585" t="s">
        <v>17</v>
      </c>
      <c r="F1585">
        <v>2025</v>
      </c>
      <c r="G1585" s="4">
        <v>43.5</v>
      </c>
      <c r="H1585">
        <v>188</v>
      </c>
      <c r="I1585">
        <f t="shared" si="24"/>
        <v>0</v>
      </c>
    </row>
    <row r="1586" spans="1:9" x14ac:dyDescent="0.3">
      <c r="A1586">
        <v>28</v>
      </c>
      <c r="B1586">
        <v>11</v>
      </c>
      <c r="C1586" s="4">
        <v>87</v>
      </c>
      <c r="D1586" t="s">
        <v>11</v>
      </c>
      <c r="E1586" t="s">
        <v>17</v>
      </c>
      <c r="F1586">
        <v>2025</v>
      </c>
      <c r="G1586" s="4">
        <v>43.5</v>
      </c>
      <c r="H1586">
        <v>188</v>
      </c>
      <c r="I1586">
        <f t="shared" si="24"/>
        <v>0</v>
      </c>
    </row>
    <row r="1587" spans="1:9" x14ac:dyDescent="0.3">
      <c r="A1587">
        <v>29</v>
      </c>
      <c r="B1587">
        <v>11</v>
      </c>
      <c r="C1587" s="4">
        <v>85</v>
      </c>
      <c r="D1587" t="s">
        <v>11</v>
      </c>
      <c r="E1587" t="s">
        <v>17</v>
      </c>
      <c r="F1587">
        <v>2025</v>
      </c>
      <c r="G1587" s="4">
        <v>42.5</v>
      </c>
      <c r="H1587">
        <v>188</v>
      </c>
      <c r="I1587">
        <f t="shared" si="24"/>
        <v>0</v>
      </c>
    </row>
    <row r="1588" spans="1:9" x14ac:dyDescent="0.3">
      <c r="A1588">
        <v>30</v>
      </c>
      <c r="B1588">
        <v>11</v>
      </c>
      <c r="C1588" s="4">
        <v>85</v>
      </c>
      <c r="D1588" t="s">
        <v>11</v>
      </c>
      <c r="E1588" t="s">
        <v>17</v>
      </c>
      <c r="F1588">
        <v>2025</v>
      </c>
      <c r="G1588" s="4">
        <v>42.5</v>
      </c>
      <c r="H1588">
        <v>188</v>
      </c>
      <c r="I1588">
        <f t="shared" si="24"/>
        <v>0</v>
      </c>
    </row>
    <row r="1589" spans="1:9" x14ac:dyDescent="0.3">
      <c r="A1589">
        <v>31</v>
      </c>
      <c r="B1589">
        <v>11</v>
      </c>
      <c r="C1589" s="4">
        <v>83</v>
      </c>
      <c r="D1589" t="s">
        <v>11</v>
      </c>
      <c r="E1589" t="s">
        <v>17</v>
      </c>
      <c r="F1589">
        <v>2025</v>
      </c>
      <c r="G1589" s="4">
        <v>41.5</v>
      </c>
      <c r="H1589">
        <v>188</v>
      </c>
      <c r="I1589">
        <f t="shared" si="24"/>
        <v>0</v>
      </c>
    </row>
    <row r="1590" spans="1:9" x14ac:dyDescent="0.3">
      <c r="A1590">
        <v>32</v>
      </c>
      <c r="B1590">
        <v>11</v>
      </c>
      <c r="C1590" s="4">
        <v>78</v>
      </c>
      <c r="D1590" t="s">
        <v>11</v>
      </c>
      <c r="E1590" t="s">
        <v>17</v>
      </c>
      <c r="F1590">
        <v>2025</v>
      </c>
      <c r="G1590" s="4">
        <v>39</v>
      </c>
      <c r="H1590">
        <v>188</v>
      </c>
      <c r="I1590">
        <f t="shared" si="24"/>
        <v>0</v>
      </c>
    </row>
    <row r="1591" spans="1:9" x14ac:dyDescent="0.3">
      <c r="A1591">
        <v>33</v>
      </c>
      <c r="B1591">
        <v>11</v>
      </c>
      <c r="C1591" s="4">
        <v>74</v>
      </c>
      <c r="D1591" t="s">
        <v>11</v>
      </c>
      <c r="E1591" t="s">
        <v>17</v>
      </c>
      <c r="F1591">
        <v>2025</v>
      </c>
      <c r="G1591" s="4">
        <v>37</v>
      </c>
      <c r="H1591">
        <v>188</v>
      </c>
      <c r="I1591">
        <f t="shared" si="24"/>
        <v>0</v>
      </c>
    </row>
    <row r="1592" spans="1:9" x14ac:dyDescent="0.3">
      <c r="A1592">
        <v>34</v>
      </c>
      <c r="B1592">
        <v>11</v>
      </c>
      <c r="C1592" s="4">
        <v>72</v>
      </c>
      <c r="D1592" t="s">
        <v>11</v>
      </c>
      <c r="E1592" t="s">
        <v>17</v>
      </c>
      <c r="F1592">
        <v>2025</v>
      </c>
      <c r="G1592" s="4">
        <v>36</v>
      </c>
      <c r="H1592">
        <v>188</v>
      </c>
      <c r="I1592">
        <f t="shared" si="24"/>
        <v>0</v>
      </c>
    </row>
    <row r="1593" spans="1:9" x14ac:dyDescent="0.3">
      <c r="A1593">
        <v>35</v>
      </c>
      <c r="B1593">
        <v>11</v>
      </c>
      <c r="C1593" s="4">
        <v>69</v>
      </c>
      <c r="D1593" t="s">
        <v>11</v>
      </c>
      <c r="E1593" t="s">
        <v>17</v>
      </c>
      <c r="F1593">
        <v>2025</v>
      </c>
      <c r="G1593" s="4">
        <v>34.5</v>
      </c>
      <c r="H1593">
        <v>188</v>
      </c>
      <c r="I1593">
        <f t="shared" si="24"/>
        <v>0</v>
      </c>
    </row>
    <row r="1594" spans="1:9" x14ac:dyDescent="0.3">
      <c r="A1594">
        <v>36</v>
      </c>
      <c r="B1594">
        <v>11</v>
      </c>
      <c r="C1594" s="4">
        <v>64</v>
      </c>
      <c r="D1594" t="s">
        <v>11</v>
      </c>
      <c r="E1594" t="s">
        <v>17</v>
      </c>
      <c r="F1594">
        <v>2025</v>
      </c>
      <c r="G1594" s="4">
        <v>32</v>
      </c>
      <c r="H1594">
        <v>188</v>
      </c>
      <c r="I1594">
        <f t="shared" si="24"/>
        <v>0</v>
      </c>
    </row>
    <row r="1595" spans="1:9" x14ac:dyDescent="0.3">
      <c r="A1595">
        <v>37</v>
      </c>
      <c r="B1595">
        <v>11</v>
      </c>
      <c r="C1595" s="4">
        <v>64</v>
      </c>
      <c r="D1595" t="s">
        <v>11</v>
      </c>
      <c r="E1595" t="s">
        <v>17</v>
      </c>
      <c r="F1595">
        <v>2025</v>
      </c>
      <c r="G1595" s="4">
        <v>32</v>
      </c>
      <c r="H1595">
        <v>188</v>
      </c>
      <c r="I1595">
        <f t="shared" si="24"/>
        <v>0</v>
      </c>
    </row>
    <row r="1596" spans="1:9" x14ac:dyDescent="0.3">
      <c r="A1596">
        <v>38</v>
      </c>
      <c r="B1596">
        <v>11</v>
      </c>
      <c r="C1596" s="4">
        <v>60</v>
      </c>
      <c r="D1596" t="s">
        <v>11</v>
      </c>
      <c r="E1596" t="s">
        <v>17</v>
      </c>
      <c r="F1596">
        <v>2025</v>
      </c>
      <c r="G1596" s="4">
        <v>30</v>
      </c>
      <c r="H1596">
        <v>188</v>
      </c>
      <c r="I1596">
        <f t="shared" si="24"/>
        <v>0</v>
      </c>
    </row>
    <row r="1597" spans="1:9" x14ac:dyDescent="0.3">
      <c r="A1597">
        <v>39</v>
      </c>
      <c r="B1597">
        <v>11</v>
      </c>
      <c r="C1597" s="4">
        <v>58</v>
      </c>
      <c r="D1597" t="s">
        <v>11</v>
      </c>
      <c r="E1597" t="s">
        <v>17</v>
      </c>
      <c r="F1597">
        <v>2025</v>
      </c>
      <c r="G1597" s="4">
        <v>29</v>
      </c>
      <c r="H1597">
        <v>188</v>
      </c>
      <c r="I1597">
        <f t="shared" si="24"/>
        <v>0</v>
      </c>
    </row>
    <row r="1598" spans="1:9" x14ac:dyDescent="0.3">
      <c r="A1598">
        <v>40</v>
      </c>
      <c r="B1598">
        <v>11</v>
      </c>
      <c r="C1598" s="4">
        <v>56</v>
      </c>
      <c r="D1598" t="s">
        <v>11</v>
      </c>
      <c r="E1598" t="s">
        <v>17</v>
      </c>
      <c r="F1598">
        <v>2025</v>
      </c>
      <c r="G1598" s="4">
        <v>28</v>
      </c>
      <c r="H1598">
        <v>188</v>
      </c>
      <c r="I1598">
        <f t="shared" si="24"/>
        <v>0</v>
      </c>
    </row>
    <row r="1599" spans="1:9" x14ac:dyDescent="0.3">
      <c r="A1599">
        <v>41</v>
      </c>
      <c r="B1599">
        <v>11</v>
      </c>
      <c r="C1599" s="4">
        <v>53</v>
      </c>
      <c r="D1599" t="s">
        <v>11</v>
      </c>
      <c r="E1599" t="s">
        <v>17</v>
      </c>
      <c r="F1599">
        <v>2025</v>
      </c>
      <c r="G1599" s="4">
        <v>26.5</v>
      </c>
      <c r="H1599">
        <v>188</v>
      </c>
      <c r="I1599">
        <f t="shared" si="24"/>
        <v>0</v>
      </c>
    </row>
    <row r="1600" spans="1:9" x14ac:dyDescent="0.3">
      <c r="A1600">
        <v>42</v>
      </c>
      <c r="B1600">
        <v>11</v>
      </c>
      <c r="C1600" s="4">
        <v>51</v>
      </c>
      <c r="D1600" t="s">
        <v>11</v>
      </c>
      <c r="E1600" t="s">
        <v>17</v>
      </c>
      <c r="F1600">
        <v>2025</v>
      </c>
      <c r="G1600" s="4">
        <v>25.5</v>
      </c>
      <c r="H1600">
        <v>188</v>
      </c>
      <c r="I1600">
        <f t="shared" si="24"/>
        <v>0</v>
      </c>
    </row>
    <row r="1601" spans="1:9" x14ac:dyDescent="0.3">
      <c r="A1601">
        <v>43</v>
      </c>
      <c r="B1601">
        <v>11</v>
      </c>
      <c r="C1601" s="4">
        <v>51</v>
      </c>
      <c r="D1601" t="s">
        <v>11</v>
      </c>
      <c r="E1601" t="s">
        <v>17</v>
      </c>
      <c r="F1601">
        <v>2025</v>
      </c>
      <c r="G1601" s="4">
        <v>25.5</v>
      </c>
      <c r="H1601">
        <v>188</v>
      </c>
      <c r="I1601">
        <f t="shared" si="24"/>
        <v>0</v>
      </c>
    </row>
  </sheetData>
  <pageMargins left="0.75" right="0.75" top="1" bottom="1" header="0.5" footer="0.5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F8AD-CB8D-4483-AD29-BE45902DAFDF}">
  <dimension ref="A1:B3"/>
  <sheetViews>
    <sheetView workbookViewId="0">
      <selection activeCell="G3" sqref="G3"/>
    </sheetView>
  </sheetViews>
  <sheetFormatPr defaultRowHeight="14.4" x14ac:dyDescent="0.3"/>
  <cols>
    <col min="1" max="1" width="28.21875" customWidth="1"/>
    <col min="2" max="2" width="66.44140625" customWidth="1"/>
  </cols>
  <sheetData>
    <row r="1" spans="1:2" ht="144" x14ac:dyDescent="0.3">
      <c r="A1" s="28" t="s">
        <v>33</v>
      </c>
      <c r="B1" s="29" t="s">
        <v>34</v>
      </c>
    </row>
    <row r="2" spans="1:2" ht="86.4" x14ac:dyDescent="0.3">
      <c r="A2" s="30" t="s">
        <v>35</v>
      </c>
      <c r="B2" s="31" t="s">
        <v>36</v>
      </c>
    </row>
    <row r="3" spans="1:2" ht="87" thickBot="1" x14ac:dyDescent="0.35">
      <c r="A3" s="32" t="s">
        <v>37</v>
      </c>
      <c r="B3" s="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 данные и расчеты</vt:lpstr>
      <vt:lpstr>Выводы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Ксения Желтякова</cp:lastModifiedBy>
  <dcterms:created xsi:type="dcterms:W3CDTF">2026-03-25T23:18:45Z</dcterms:created>
  <dcterms:modified xsi:type="dcterms:W3CDTF">2026-03-26T05:42:02Z</dcterms:modified>
</cp:coreProperties>
</file>